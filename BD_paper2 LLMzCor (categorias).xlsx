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christian.lombardo\Downloads\"/>
    </mc:Choice>
  </mc:AlternateContent>
  <xr:revisionPtr revIDLastSave="0" documentId="13_ncr:1_{9B4043AD-24B3-4449-AA63-D35A56EB7337}" xr6:coauthVersionLast="47" xr6:coauthVersionMax="47" xr10:uidLastSave="{00000000-0000-0000-0000-000000000000}"/>
  <bookViews>
    <workbookView xWindow="-120" yWindow="-16320" windowWidth="29040" windowHeight="15720" xr2:uid="{00000000-000D-0000-FFFF-FFFF00000000}"/>
  </bookViews>
  <sheets>
    <sheet name="Hoja 1" sheetId="1" r:id="rId1"/>
  </sheets>
  <definedNames>
    <definedName name="_xlnm._FilterDatabase" localSheetId="0" hidden="1">'Hoja 1'!$A$1:$G$1000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9" i="1" l="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159" i="1"/>
  <c r="C158" i="1"/>
  <c r="C157" i="1"/>
  <c r="C156" i="1"/>
  <c r="C155" i="1"/>
  <c r="C120" i="1"/>
  <c r="C117" i="1"/>
  <c r="C116" i="1"/>
  <c r="C115" i="1"/>
  <c r="C114" i="1"/>
  <c r="C113" i="1"/>
  <c r="C112" i="1"/>
  <c r="C111" i="1"/>
  <c r="C110" i="1"/>
  <c r="C109" i="1"/>
  <c r="C108" i="1"/>
  <c r="C107"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7" i="1"/>
  <c r="C66" i="1"/>
  <c r="C65" i="1"/>
  <c r="C64" i="1"/>
  <c r="C63" i="1"/>
  <c r="C62" i="1"/>
  <c r="C61" i="1"/>
  <c r="C60" i="1"/>
  <c r="C59" i="1"/>
  <c r="C58" i="1"/>
  <c r="C57" i="1"/>
  <c r="C56" i="1"/>
  <c r="C55" i="1"/>
  <c r="C54" i="1"/>
  <c r="C53" i="1"/>
  <c r="C52" i="1"/>
  <c r="C51" i="1"/>
  <c r="C50" i="1"/>
  <c r="C49" i="1"/>
  <c r="C48" i="1"/>
  <c r="C47" i="1"/>
  <c r="C46" i="1"/>
  <c r="C44" i="1"/>
  <c r="C43"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alcChain>
</file>

<file path=xl/sharedStrings.xml><?xml version="1.0" encoding="utf-8"?>
<sst xmlns="http://schemas.openxmlformats.org/spreadsheetml/2006/main" count="1879" uniqueCount="785">
  <si>
    <t>PMID</t>
  </si>
  <si>
    <t>Title</t>
  </si>
  <si>
    <t>Abstract</t>
  </si>
  <si>
    <t>Categorias_Humanos</t>
  </si>
  <si>
    <t>subcategoria_Humanos</t>
  </si>
  <si>
    <t>fecha de publicación</t>
  </si>
  <si>
    <t>PubYear</t>
  </si>
  <si>
    <t>Can Ciprofloxacin be Used for Precision Treatment of Gonorrhea in Public STD Clinics? Assessment of Ciprofloxacin Susceptibility and an Opportunity for Point-of-Care Testing</t>
  </si>
  <si>
    <t>revisar</t>
  </si>
  <si>
    <t>2019 Oct 14</t>
  </si>
  <si>
    <t>2022</t>
  </si>
  <si>
    <t>Gentamicin as an alternative to ceftriaxone in the treatment of gonorrhoea: the G-TOG non-inferiority RCT</t>
  </si>
  <si>
    <t>2019 May</t>
  </si>
  <si>
    <t>2018</t>
  </si>
  <si>
    <t>Discovery and characterization of a novel class of pyrazolopyrimidinedione tRNA synthesis inhibitors</t>
  </si>
  <si>
    <t>4) otros</t>
  </si>
  <si>
    <t>caracterización</t>
  </si>
  <si>
    <t>2015 Jun</t>
  </si>
  <si>
    <t>2014</t>
  </si>
  <si>
    <t>Longitudinal analysis of the evolution and dissemination of Neisseria gonorrhoeae strains (Saskatchewan, Canada, 2005 to 2008) reveals three major circulating strains and convergent evolution of ciprofloxacin and azithromycin resistance</t>
  </si>
  <si>
    <t xml:space="preserve">2) Nuevos tratamientos </t>
  </si>
  <si>
    <t>2012 Dec</t>
  </si>
  <si>
    <t>Targeting an Essential GTPase Obg for the Development of Broad-Spectrum Antibiotics</t>
  </si>
  <si>
    <t>2c) Droga de diseño</t>
  </si>
  <si>
    <t>2016 Feb 5</t>
  </si>
  <si>
    <t>Characterization of azithromycin-resistant Neisseria gonorrhoeae isolated in Tokyo in 2005-2011</t>
  </si>
  <si>
    <t xml:space="preserve"> 1) Reporte de cepas resistentes</t>
  </si>
  <si>
    <t>2014 May</t>
  </si>
  <si>
    <t>2013</t>
  </si>
  <si>
    <t>Ceftriaxone susceptibility and molecular characteristics of Neisseria gonorrhoeae isolates in Changsha, China</t>
  </si>
  <si>
    <t>2017 Jun</t>
  </si>
  <si>
    <t>2016</t>
  </si>
  <si>
    <t>A Case of Persistent and Possibly Treatment Resistant Pharyngeal Gonorrhea</t>
  </si>
  <si>
    <t>2g) nueva combinación de ATB</t>
  </si>
  <si>
    <t>2016 Apr</t>
  </si>
  <si>
    <t>Recombinant truncated AniA of pathogenic Neisseria elicits a non-native immune response and functional blocking antibodies</t>
  </si>
  <si>
    <t>3) Inmunizacióm</t>
  </si>
  <si>
    <t>VACUNA</t>
  </si>
  <si>
    <t>2013 Feb 8</t>
  </si>
  <si>
    <t>Genomic epidemiology and antimicrobial resistance determinants of Neisseria gonorrhoeae isolates from Ukraine, 2013-2018</t>
  </si>
  <si>
    <t>2020 Jul</t>
  </si>
  <si>
    <t>2020</t>
  </si>
  <si>
    <t>In vitro growth of multidrug-resistant Neisseria gonorrhoeae isolates is inhibited by ETX0914, a novel spiropyrimidinetrione</t>
  </si>
  <si>
    <t>2016 Sep</t>
  </si>
  <si>
    <t>Photoinactivation of Neisseria gonorrhoeae: A Paradigm-Changing Approach for Combating Antibiotic-Resistant Gonococcal Infection</t>
  </si>
  <si>
    <t>No farmacológico (UV)</t>
  </si>
  <si>
    <t>2019 Jul 31</t>
  </si>
  <si>
    <t>In vitro potency and combination testing of antimicrobial agents against Neisseria gonorrhoeae</t>
  </si>
  <si>
    <t>2016 Mar</t>
  </si>
  <si>
    <t>2019</t>
  </si>
  <si>
    <t>In vitro Antigonorrhea Activity of the Aerial Part of Asparagus suaveolens n-Hexane Fraction and Palmitone as a Bioactive Compound</t>
  </si>
  <si>
    <t>2a) Productos naturales</t>
  </si>
  <si>
    <t>2015</t>
  </si>
  <si>
    <t>A Survey of Current Prophylactic Treatment for Ophthalmia Neonatorum in Croatia and a Review of International Preventive Practices</t>
  </si>
  <si>
    <t>2018 Nov 10</t>
  </si>
  <si>
    <t>Antimicrobial activity of selected plants against fungal species isolated from South African AIDS patients and their antigonococcal activity</t>
  </si>
  <si>
    <t>2020 Sep 23</t>
  </si>
  <si>
    <t>[What's new in the diagnosis and treatment of Neisseria gonorrhoeae]</t>
  </si>
  <si>
    <t>2013 Apr</t>
  </si>
  <si>
    <t>Self-derived structure-disrupting peptides targeting methionine aminopeptidase in pathogenic bacteria: a new strategy to generate antimicrobial peptides</t>
  </si>
  <si>
    <t>2b) Péptidos</t>
  </si>
  <si>
    <t>2019 Feb</t>
  </si>
  <si>
    <t>trans-Translation inhibitors bind to a novel site on the ribosome and clear Neisseria gonorrhoeae in vivo</t>
  </si>
  <si>
    <t>2021 Mar 19</t>
  </si>
  <si>
    <t>A novel gonorrhea vaccine composed of MetQ lipoprotein formulated with CpG shortens experimental murine infection</t>
  </si>
  <si>
    <t>2020 Dec 3</t>
  </si>
  <si>
    <t>Bacterial vaginosis: An insight into the prevalence, alternative treatments regimen and it's associated resistance patterns</t>
  </si>
  <si>
    <t>Antibiotics modulate attractive interactions in bacterial colonies affecting survivability under combined treatment</t>
  </si>
  <si>
    <t>2021 Feb 1</t>
  </si>
  <si>
    <t>Cephalosporin-Resistant Neisseria gonorrhoeae Clone, China</t>
  </si>
  <si>
    <t>2018 Apr</t>
  </si>
  <si>
    <t>Partner notification and treatment for sexually transmitted infections among pregnant women in Gaborone, Botswana</t>
  </si>
  <si>
    <t>2017 Oct</t>
  </si>
  <si>
    <t>2017</t>
  </si>
  <si>
    <t>Antimicrobial activity of plant extracts against sexually transmitted pathogens</t>
  </si>
  <si>
    <t>An update on prevalence, diagnosis, treatment and emerging issues of genital mycoplasma infection in Indian women: A narrative review</t>
  </si>
  <si>
    <t>2019 Sep-Oct</t>
  </si>
  <si>
    <t>Novel outreach settings to enhance sexually transmitted infection/HIV awareness, diagnosis and treatment in hard-to-reach populations</t>
  </si>
  <si>
    <t>2018 Mar</t>
  </si>
  <si>
    <t>Azithromycin Resistance and Decreased Ceftriaxone Susceptibility in Neisseria gonorrhoeae, Hawaii, USA</t>
  </si>
  <si>
    <t>2017 May</t>
  </si>
  <si>
    <t>Crossreactivity of an Antiserum Directed to the Gram-Negative Bacterium Neisseria gonorrhoeae with the SNARE-Complex Protein Snap23 Correlates to Impaired Exocytosis in SH-SY5Y Cells</t>
  </si>
  <si>
    <t>In Vitro Activity of Sitafloxacin and Additional Newer Generation Fluoroquinolones Against Ciprofloxacin-Resistant Neisseria gonorrhoeae Isolates</t>
  </si>
  <si>
    <t>2018 Jan/Feb</t>
  </si>
  <si>
    <t>A Moonlighting Enolase from Lactobacillus gasseri does not Require Enzymatic Activity to Inhibit Neisseria gonorrhoeae Adherence to Epithelial Cells</t>
  </si>
  <si>
    <t>2015 Sep</t>
  </si>
  <si>
    <t>2012</t>
  </si>
  <si>
    <t>Crystal structure of an efficacious gonococcal adherence inhibitor: an enolase from Lactobacillus gasseri</t>
  </si>
  <si>
    <t>2014 Jun 27</t>
  </si>
  <si>
    <t>Gonococcal conjunctivitis after incomplete treatment of gonococcal urethritis</t>
  </si>
  <si>
    <t>2019 May 23</t>
  </si>
  <si>
    <t>Antimicrobial Resistance in Neisseria gonorrhoeae and Treatment of Gonorrhea</t>
  </si>
  <si>
    <t>C4BP-IgM protein as a therapeutic approach to treat Neisseria gonorrhoeae infections</t>
  </si>
  <si>
    <t>2d) Anticuerpos</t>
  </si>
  <si>
    <t>2019 Dec 5</t>
  </si>
  <si>
    <t>Antimicrobial susceptibility testing of Neisseria gonorrhoeae using a phenotypic-molecular assay and lyophilized antimicrobials</t>
  </si>
  <si>
    <t>2022 Feb</t>
  </si>
  <si>
    <t>Neisseria gonorrhoeae strain with high-level resistance to spectinomycin due to a novel resistance mechanism (mutated ribosomal protein S5) verified in Norway</t>
  </si>
  <si>
    <t>Caracterización</t>
  </si>
  <si>
    <t>2013 Feb</t>
  </si>
  <si>
    <t>In vitro activity of the new fluoroketolide solithromycin (CEM-101) against a large collection of clinical Neisseria gonorrhoeae isolates and international reference strains, including those with high-level antimicrobial resistance: potential treatment option for gonorrhea?</t>
  </si>
  <si>
    <t>2012 May</t>
  </si>
  <si>
    <t>2020 European guideline for the diagnosis and treatment of gonorrhoea in adults</t>
  </si>
  <si>
    <t>2012 European guideline on the diagnosis and treatment of gonorrhoea in adults</t>
  </si>
  <si>
    <t>Cross-protection induced by VA-MENGOC-BC® vaccine</t>
  </si>
  <si>
    <t xml:space="preserve">I would like to comment on the article "Commentary: Impact of meningococcal group B OMV vaccines, beyond their brief", DOI: 10.1080/21645515.2017.1381810. The author states that meningococcal group B OMVs vaccines -such as VA-MENGOC-BC®- may induce moderate protection against Neisseria gonorrhoeae. I agree. However, the author states that "there was no evidence of effectiveness in the younger children." The effectiveness of VA-MENGOC-BC® in heterologous contexts has been higher than 80% in individuals older than 4 years old, but the effectiveness in younger children should not be undervalued; it has usually been higher than 60%, and results markedly higher when evaluated based on mortality rates. There is strong evidence that VA-MENGOC-BC® may induce cross-protection against heterologous N. meningitidis strains and N. gonorrhoeae.
</t>
  </si>
  <si>
    <t>2018 May 4</t>
  </si>
  <si>
    <t>PRP as a new approach to prevent infection: preparation and in vitro antimicrobial properties of PRP</t>
  </si>
  <si>
    <t>2013 Apr 9</t>
  </si>
  <si>
    <t>Identification of Internationally Disseminated Ceftriaxone-Resistant Neisseria gonorrhoeae Strain FC428, China</t>
  </si>
  <si>
    <t>4f) Estrategias antivirulencia</t>
  </si>
  <si>
    <t>2019 Jul</t>
  </si>
  <si>
    <t>Antibodies directed to Neisseria gonorrhoeae impair nerve growth factor-dependent neurite outgrowth in Rat PC12 cells</t>
  </si>
  <si>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</si>
  <si>
    <t>2014 Mar</t>
  </si>
  <si>
    <t>Chlamydia trachomatis, Neisseria gonorrhoeae, and Trichomonas vaginalis screening and treatment of pregnant women in Port-au-Prince, Haiti</t>
  </si>
  <si>
    <t>Genetic Characterization and Enhanced Surveillance of Ceftriaxone-Resistant Neisseria gonorrhoeae Strain, Alberta, Canada, 2018</t>
  </si>
  <si>
    <t>2019 Sep</t>
  </si>
  <si>
    <t>2021</t>
  </si>
  <si>
    <t>Determination of in vitro synergy for dual antimicrobial therapy against resistant Neisseria gonorrhoeae using Etest and agar dilution</t>
  </si>
  <si>
    <t>2015 Mar</t>
  </si>
  <si>
    <t>Emergence and Spread of Cephalosporin-Resistant Neisseria gonorrhoeae with Mosaic penA Alleles, South Korea, 2012-2017</t>
  </si>
  <si>
    <t>2019 Mar</t>
  </si>
  <si>
    <t>Evaluating spatially adaptive guidelines for the treatment of gonorrhea to reduce the incidence of gonococcal infection and increase the effective lifespan of antibiotics</t>
  </si>
  <si>
    <t>2022 Feb 9</t>
  </si>
  <si>
    <t>Bacteriocins and other bioactive substances of probiotic lactobacilli as biological weapons against Neisseria gonorrhoeae</t>
  </si>
  <si>
    <t>2015 Apr</t>
  </si>
  <si>
    <t>Activity of JNJ-Q2, a novel fluoroquinolone, tested against Neisseria gonorrhoeae, including ciprofloxacin-resistant strains</t>
  </si>
  <si>
    <t>2012 Oct</t>
  </si>
  <si>
    <t>Mycoplasma genitalium in male urethritis: diagnosis and treatment in Japan</t>
  </si>
  <si>
    <t>2013 Jul</t>
  </si>
  <si>
    <t>Effect of different fatty acids on Neisseria gonorrhoeae viability</t>
  </si>
  <si>
    <t>2021 Jul</t>
  </si>
  <si>
    <t>Antibodies with higher bactericidal activity induced by a Neisseria gonorrhoeae Rmp deletion mutant strain</t>
  </si>
  <si>
    <t>2014 Mar 4</t>
  </si>
  <si>
    <t>Advances in the Understanding and Treatment of Male Urethritis</t>
  </si>
  <si>
    <t>2015 Dec 15</t>
  </si>
  <si>
    <t>Antimicrobial resistance (AMR) and molecular characterization of Neisseria gonorrhoeae in Ghana, 2012-2015</t>
  </si>
  <si>
    <t>2019 Oct 10</t>
  </si>
  <si>
    <t>Utilizing CMP-Sialic Acid Analogs to Unravel Neisseria gonorrhoeae Lipooligosaccharide-Mediated Complement Resistance and Design Novel Therapeutics</t>
  </si>
  <si>
    <t>2015 Dec 2</t>
  </si>
  <si>
    <t>Identification of potential therapeutic targets in Neisseria gonorrhoeae by an in-silico approach</t>
  </si>
  <si>
    <t>in silico</t>
  </si>
  <si>
    <t>2020 Apr 7</t>
  </si>
  <si>
    <t>Diagnosis, treatment and prevention of gonorrhoea</t>
  </si>
  <si>
    <t>2014 Mar 5-11</t>
  </si>
  <si>
    <t>Self-Inhibitory Peptides Targeting the Neisseria gonorrhoeae MtrCDE Efflux Pump Increase Antibiotic Susceptibility</t>
  </si>
  <si>
    <t>2022 Jan 18</t>
  </si>
  <si>
    <t>Adaptation to the cervical environment is associated with increased antibiotic susceptibility in Neisseria gonorrhoeae</t>
  </si>
  <si>
    <t>2020 Aug 17</t>
  </si>
  <si>
    <t>The ironclad truth: how in vivo transcriptomics and in vitro mechanistic studies shape our understanding of Neisseria gonorrhoeae gene regulation during mucosal infection</t>
  </si>
  <si>
    <t>2017 Jul 31</t>
  </si>
  <si>
    <t>Antibacterial activity of resazurin-based compounds against Neisseria gonorrhoeae in vitro and in vivo</t>
  </si>
  <si>
    <t>2016 Oct</t>
  </si>
  <si>
    <t>In vitro activity of EDTA and TOL-463 against Neisseria gonorrhoeae</t>
  </si>
  <si>
    <t>2019 Apr</t>
  </si>
  <si>
    <t>Investigation of auranofin and gold-containing analogues antibacterial activity against multidrug-resistant Neisseria gonorrhoeae</t>
  </si>
  <si>
    <t>2020 Mar 27</t>
  </si>
  <si>
    <t>MetQ of Neisseria gonorrhoeae Is a Surface-Expressed Antigen That Elicits Bactericidal and Functional Blocking Antibodies</t>
  </si>
  <si>
    <t>2017 Jan 26</t>
  </si>
  <si>
    <t>Beyond the Crystal Structure: Insight into the Function and Vaccine Potential of TbpA Expressed by Neisseria gonorrhoeae</t>
  </si>
  <si>
    <t>Neisseria gonorrhoeae, the causative agent of the sexually transmitted infection gonorrhea, is not preventable by vaccination and is rapidly developing resistance to antibiotics. However, the transferrin (Tf) receptor system, composed of TbpA and TbpB, is an ideal target for novel therapeutics and vaccine development. Using a three-dimensional structure of gonococcal TbpA, we investigated two hypotheses, i.e., that loop-derived antibodies can interrupt ligand-receptor interactions in the native bacterium and that the loop 3 helix is a critical functional domain. Preliminary loop-derived antibodies, as well as optimized second-generation antibodies, demonstrated similar modest ligand-blocking effects on the gonococcal surface but different effects in Escherichia coli. Mutagenesis of loop 3 helix residues was employed, generating 11 mutants. We separately analyzed the mutants' abilities to (i) bind Tf and (ii) internalize Tf-bound iron in the absence of the coreceptor TbpB. Single residue mutations resulted in up to 60% reductions in ligand binding and up to 85% reductions in iron utilization. All strains were capable of growing on Tf as the sole iron source. Interestingly, in the presence of TbpB, only a 30% reduction in Tf-iron utilization was observed, indicating that the coreceptor can compensate for TbpA impairment. Complete deletion of the loop 3 helix of TbpA eliminated the abilities to bind Tf, internalize iron, and grow with Tf as the sole iron source. Our studies demonstrate that while the loop 3 helix is a key functional domain, its function does not exclusively rely on any single residue.</t>
  </si>
  <si>
    <t>2015 Nov</t>
  </si>
  <si>
    <t>In vitro activity of fosfomycin alone and in combination with ceftriaxone or azithromycin against clinical Neisseria gonorrhoeae isolates</t>
  </si>
  <si>
    <t>[What's new in dermatological treatment?]</t>
  </si>
  <si>
    <t>2017 Dec</t>
  </si>
  <si>
    <t>Pelvic inflammatory disease: current concepts in pathogenesis, diagnosis and treatment</t>
  </si>
  <si>
    <t>2013 Dec</t>
  </si>
  <si>
    <t>Efficacy and safety of intravenous azithromycin followed by oral azithromycin for the treatment of acute pelvic inflammatory disease and perihepatitis in Japanese women</t>
  </si>
  <si>
    <t>2014 Jul</t>
  </si>
  <si>
    <t>Pelvic inflammatory disease: diagnosis and treatment in the emergency department [digest]</t>
  </si>
  <si>
    <t>2016 Dec 22</t>
  </si>
  <si>
    <t>Sustained Simultaneous Delivery of Metronidazole and Doxycycline From Polycaprolactone Matrices Designed for Intravaginal Treatment of Pelvic Inflammatory Disease</t>
  </si>
  <si>
    <t>MpeR regulates the mtr efflux locus in Neisseria gonorrhoeae and modulates antimicrobial resistance by an iron-responsive mechanism</t>
  </si>
  <si>
    <t>2012 Mar</t>
  </si>
  <si>
    <t>Empiric antimicrobial treatment for asymptomatic sexual contacts of sexually transmitted infection in the era of antimicrobial resistance: time to rethink?</t>
  </si>
  <si>
    <t>In Vitro Activity of Quaternary Ammonium Surfactants against Streptococcal, Chlamydial, and Gonococcal Infective Agents</t>
  </si>
  <si>
    <t>2f) Estrategias antivirulencia</t>
  </si>
  <si>
    <t>2016 May 23</t>
  </si>
  <si>
    <t>Surfactant-enhanced DNA accessibility to nuclease accelerates phenotypic β-lactam antibiotic susceptibility testing of Neisseria gonorrhoeae</t>
  </si>
  <si>
    <t>2020 Mar 19</t>
  </si>
  <si>
    <t>Pharmacokinetic considerations regarding the treatment of bacterial sexually transmitted infections with azithromycin: a review</t>
  </si>
  <si>
    <t>2019 May 1</t>
  </si>
  <si>
    <t>Chronic endometritis due to common bacteria is prevalent in women with recurrent miscarriage as confirmed by improved pregnancy outcome after antibiotic treatment</t>
  </si>
  <si>
    <t>Gonococcal vaccines: Public health value and preferred product characteristics; report of a WHO global stakeholder consultation, January 2019</t>
  </si>
  <si>
    <t>2020 Jun 9</t>
  </si>
  <si>
    <t>High in vitro susceptibility to the novel spiropyrimidinetrione ETX0914 (AZD0914) among 873 contemporary clinical Neisseria gonorrhoeae isolates from 21 European countries from 2012 to 2014</t>
  </si>
  <si>
    <t>Mutations in PBP2 from ceftriaxone-resistant Neisseria gonorrhoeae alter the dynamics of the β3-β4 loop to favor a low-affinity drug-binding state</t>
  </si>
  <si>
    <t>2021 Oct</t>
  </si>
  <si>
    <t>Update to CDC's Treatment Guidelines for Gonococcal Infection, 2020</t>
  </si>
  <si>
    <t>2020 Dec 18</t>
  </si>
  <si>
    <t>[Sexually transmitted infectious proctitis: diagnostic challenge and treatment recommendations]</t>
  </si>
  <si>
    <t>2020 Oct-Dec</t>
  </si>
  <si>
    <t>In vitro activities of antimicrobial combinations against clinical isolates of Neisseria gonorrhoeae</t>
  </si>
  <si>
    <t>In vitro assessment of dual drug combinations to inhibit growth of Neisseria gonorrhoeae</t>
  </si>
  <si>
    <t>Non-cytotoxic nanomaterials enhance antimicrobial activities of cefmetazole against multidrug-resistant Neisseria gonorrhoeae</t>
  </si>
  <si>
    <t>2013 May 21</t>
  </si>
  <si>
    <t>Isolation of Naturally Released Gonococcal Outer Membrane Vesicles as Vaccine Antigens</t>
  </si>
  <si>
    <t>New treatment options for infections caused by increasingly antimicrobial-resistant Neisseria gonorrhoeae</t>
  </si>
  <si>
    <t>Refinement of immunizing antigens to produce functional blocking antibodies against the AniA nitrite reductase of Neisseria gonorrhoeae</t>
  </si>
  <si>
    <t>2017 Aug 3</t>
  </si>
  <si>
    <t>Potent and rapid antigonococcal activity of the venom peptide BmKn2 and its derivatives against different Maldi biotype of multidrug-resistant Neisseria gonorrhoeae</t>
  </si>
  <si>
    <t>Novel meningococcal 4CMenB vaccine antigens - prevalence and polymorphisms of the encoding genes in Neisseria gonorrhoeae</t>
  </si>
  <si>
    <t>2012 Sep</t>
  </si>
  <si>
    <t>[The role of some individual amino acid substitutions in penicillin-binding protein (PBP2) of Neisseria gonorrhoeae in the emergence of resistance to ceftriaxone]</t>
  </si>
  <si>
    <t>2014 Nov-Dec</t>
  </si>
  <si>
    <t>Identifying a need for more focused treatment of chlamydia and gonorrhoea in the emergency department</t>
  </si>
  <si>
    <t>Is gentamicin a viable therapeutic option for treating resistant Neisseria gonorrhoeae in New South Wales?</t>
  </si>
  <si>
    <t>2021 Feb 26</t>
  </si>
  <si>
    <t>'The waiting game': are current chlamydia and gonorrhoea near-patient/point-of-care tests acceptable to service users and will they impact on treatment?</t>
  </si>
  <si>
    <t>2016 Jul</t>
  </si>
  <si>
    <t>Tetracycline resistance of Neisseria gonorrhoeae in Russia, 2015-2017</t>
  </si>
  <si>
    <t>2018 Sep</t>
  </si>
  <si>
    <t>Changing antimicrobial susceptibility and molecular characterisation of Neisseria gonorrhoeae isolates in Guangdong, China: in a background of rapidly rising epidemic</t>
  </si>
  <si>
    <t>2019 Dec</t>
  </si>
  <si>
    <t>Management and Treatment of Cervicitis: A Review of Clinical Effectiveness and Guidelines</t>
  </si>
  <si>
    <t>The safety profile of Bald's eyesalve for the treatment of bacterial infections</t>
  </si>
  <si>
    <t>2020 Oct 15</t>
  </si>
  <si>
    <t>Antibiotic-Resistant Neisseria gonorrhoeae Spread Faster with More Treatment, Not More Sexual Partners</t>
  </si>
  <si>
    <t>2016 May 19</t>
  </si>
  <si>
    <t>Characterization of the novel DNA gyrase inhibitor AZD0914: low resistance potential and lack of cross-resistance in Neisseria gonorrhoeae</t>
  </si>
  <si>
    <t>Use of whole-genome sequencing data to analyze 23S rRNA-mediated azithromycin resistance</t>
  </si>
  <si>
    <t>2017 Feb</t>
  </si>
  <si>
    <t>Copper(II)-Bis(Thiosemicarbazonato) Complexes as Antibacterial Agents: Insights into Their Mode of Action and Potential as Therapeutics</t>
  </si>
  <si>
    <t>2015 Oct</t>
  </si>
  <si>
    <t>Assessment of Serum Bactericidal and Opsonophagocytic Activity of Antibodies to Gonococcal Vaccine Targets</t>
  </si>
  <si>
    <t>There is no vaccine available to prevent Neisseria gonorrhoeae infection, however there is currently a high level of interest in developing gonococcal vaccines due to the increasing number of cases and continuing emergence of antimicrobial resistance worldwide. A key aspect of vaccine development is the investigation of the functional immune response raised to the vaccine targets under investigation. Here, we describe two assays used to assess the functional immune response raised against gonococcal vaccine targets: the serum bactericidal assay (SBA) and the opsonophagocytic assay (OPA).</t>
  </si>
  <si>
    <t>Determination of Disk Diffusion and MIC Quality Control Guidelines for Solithromycin, a Novel Fluoroketolide Antibacterial, against Neisseria gonorrhoeae</t>
  </si>
  <si>
    <t>2015 Dec</t>
  </si>
  <si>
    <t>Effect of Variants of Penicillin-Binding Protein 2 on Cephalosporin and Carbapenem Susceptibilities in Neisseria gonorrhoeae</t>
  </si>
  <si>
    <t>2015 Aug</t>
  </si>
  <si>
    <t>Ceftriaxone-Resistant Neisseria gonorrhoeae Isolates (2010 to 2014) in France Characterized by Using Whole-Genome Sequencing</t>
  </si>
  <si>
    <t>2016 Oct 21</t>
  </si>
  <si>
    <t>Things Are Not Always What They Seem: Two Cases of Child Maltreatment Presenting With Common Pediatric Chief Complaints</t>
  </si>
  <si>
    <t>2019 Jun</t>
  </si>
  <si>
    <t>Verified clinical failure with cefotaxime 1g for treatment of gonorrhoea in the Netherlands: a case report</t>
  </si>
  <si>
    <t>2014 Nov</t>
  </si>
  <si>
    <t>Comparison of Neisseria gonorrhoeae MICs obtained by Etest and agar dilution for ceftriaxone, cefpodoxime, cefixime and azithromycin</t>
  </si>
  <si>
    <t>High in vitro activity of the novel spiropyrimidinetrione AZD0914, a DNA gyrase inhibitor, against multidrug-resistant Neisseria gonorrhoeae isolates suggests a new effective option for oral treatment of gonorrhea</t>
  </si>
  <si>
    <t>2014 Sep</t>
  </si>
  <si>
    <t>In Vitro Activity of Delafloxacin against Clinical Neisseria gonorrhoeae Isolates and Selection of Gonococcal Delafloxacin Resistance</t>
  </si>
  <si>
    <t>2016 Apr 22</t>
  </si>
  <si>
    <t>Cephalosporin-Resistant Neisseria gonorrhoeae Isolated in Portugal, 2019</t>
  </si>
  <si>
    <t>2020 Nov</t>
  </si>
  <si>
    <t>The Mosaic mtr Locus as Major Genetic Determinant of Azithromycin Resistance of Neisseria gonorrhoeae-Germany, 2018</t>
  </si>
  <si>
    <t>2021 Oct 28</t>
  </si>
  <si>
    <t>Screening for sexually transmitted diseases in short-term correctional institutions: summary of evidence reviewed for the 2010 Centers for Disease Control and Prevention Sexually Transmitted Diseases Treatment Guidelines</t>
  </si>
  <si>
    <t>2013 Sep</t>
  </si>
  <si>
    <t>Identification of amino acids conferring high-level resistance to expanded-spectrum cephalosporins in the penA gene from Neisseria gonorrhoeae strain H041</t>
  </si>
  <si>
    <t>Alanine 501 Mutations in Penicillin-Binding Protein 2 from Neisseria gonorrhoeae: Structure, Mechanism, and Effects on Cephalosporin Resistance and Biological Fitness</t>
  </si>
  <si>
    <t>2017 Feb 28</t>
  </si>
  <si>
    <t>Sexually Transmitted Infections Treatment Guidelines, 2021</t>
  </si>
  <si>
    <t>2021 Jul 23</t>
  </si>
  <si>
    <t>Modulation of the Neisseria gonorrhoeae drug efflux conduit MtrE</t>
  </si>
  <si>
    <t>2017 Dec 6</t>
  </si>
  <si>
    <t>Antimicrobial susceptibility of Neisseria gonorrhoeae isolates from symptomatic men attending the Nanjing sexually transmitted diseases clinic (2011-2012): genetic characteristics of isolates with reduced sensitivity to ceftriaxone</t>
  </si>
  <si>
    <t>2014 Nov 27</t>
  </si>
  <si>
    <t>Antimicrobial resistance and Neisseria gonorrhoeae multiantigen sequence typing (NG-MAST) genotypes in N. gonorrhoeae during 2012-2014 in Karachi, Pakistan</t>
  </si>
  <si>
    <t>2016 Jul 22</t>
  </si>
  <si>
    <t>Typing and antimicrobial susceptibility of 134 Neisseria gonorrhoeae strains from Southern Spain</t>
  </si>
  <si>
    <t>Analysis of antimicrobial susceptibility testing methods and variables and in vitro activity of gepotidacin against urogenital Neisseria gonorrhoeae in men</t>
  </si>
  <si>
    <t>2021 Dec</t>
  </si>
  <si>
    <t>Neisseria gonorrhoeae susceptibility to ciprofloxacin</t>
  </si>
  <si>
    <t>2016 Dec</t>
  </si>
  <si>
    <t>Neisseria gonorrhoeae Resistant to Ceftriaxone and Cefixime, Argentina</t>
  </si>
  <si>
    <t>2016 Jun</t>
  </si>
  <si>
    <t>Resistance Profile of Neisseria gonorrhoeae in KwaZulu-Natal, South Africa Questioning the Effect of the Currently Advocated Dual Therapy</t>
  </si>
  <si>
    <t>Emergence and spread of ciprofloxacin-resistant Neisseria gonorrhoeae in New South Wales, Australia: lessons from history</t>
  </si>
  <si>
    <t>2019 Aug 1</t>
  </si>
  <si>
    <t>Multiplex Real-Time PCR Assay for Simultaneous Identification of Neisseria gonorrhoeae and Its Ciprofloxacin Susceptibility Status</t>
  </si>
  <si>
    <t>2017 Nov</t>
  </si>
  <si>
    <t>Phylogeny and antimicrobial resistance in Neisseria gonorrhoeae isolates from Rio de Janeiro, Brazil</t>
  </si>
  <si>
    <t>Antibiotic susceptibility pattern of Neisseria gonorrhoeae strains isolated from five cities in India during 2013-2016</t>
  </si>
  <si>
    <t>2018 Jan</t>
  </si>
  <si>
    <t>Genomic epidemiology and antimicrobial resistance of Neisseria gonorrhoeae in New Zealand</t>
  </si>
  <si>
    <t>2018 Feb 1</t>
  </si>
  <si>
    <t>High prevalence of Neisseria gonorrhoeae with high-level resistance to azithromycin in Hangzhou, China</t>
  </si>
  <si>
    <t>2016 Aug</t>
  </si>
  <si>
    <t>Increasing Resistance to Azithromycin in Neisseria gonorrhoeae in Eastern Chinese Cities: Resistance Mechanisms and Genetic Diversity among Isolates from Nanjing</t>
  </si>
  <si>
    <t>2018 Apr 26</t>
  </si>
  <si>
    <t>Occurrence of high-level azithromycin-resistant Neisseria gonorrhoeae isolates in China</t>
  </si>
  <si>
    <t>Large Increase in Azithromycin-Resistant Neisseria gonorrhoeae in Northern Spain</t>
  </si>
  <si>
    <t>2022 Jan</t>
  </si>
  <si>
    <t>Identification of multidrug-resistant Neisseria gonorrhoeae isolates with combined resistance to both ceftriaxone and azithromycin, China, 2017-2018</t>
  </si>
  <si>
    <t>4a) Productos naturales</t>
  </si>
  <si>
    <t>[Multiresistant Neisseria gonorrhoeae: back to the past?]</t>
  </si>
  <si>
    <t>2013 Nov</t>
  </si>
  <si>
    <t>Gonococcal urethritis caused by a multidrug resistant Neisseria gonorrhoeae strain with high-level resistance to spectinomycin in China</t>
  </si>
  <si>
    <t>2020 Mar 2</t>
  </si>
  <si>
    <t>Antimicrobial susceptibility and typing of Neisseria gonorrhoeae strains from Southern Spain, 2012-2014</t>
  </si>
  <si>
    <t>2016 Jan</t>
  </si>
  <si>
    <t>Multidrug-resistant Neisseria gonorrhoeae isolate, belonging to the internationally spreading Japanese FC428 clone, with ceftriaxone resistance and intermediate resistance to azithromycin, Ireland, August 2018</t>
  </si>
  <si>
    <t>2018 Nov</t>
  </si>
  <si>
    <t>Antimicrobial susceptibility and genetic characteristics of Neisseria gonorrhoeae isolates from Vietnam, 2011</t>
  </si>
  <si>
    <t>2013 Jan 25</t>
  </si>
  <si>
    <t>Fluoroquinolone resistance in Neisseria gonorrhoeae: fitness cost or benefit?</t>
  </si>
  <si>
    <t>2012 Jun 15</t>
  </si>
  <si>
    <t>First Case of Ceftriaxone-Resistant Multidrug-Resistant Neisseria gonorrhoeae in Singapore</t>
  </si>
  <si>
    <t>2019 Apr 25</t>
  </si>
  <si>
    <t>[Antimicrobial resistance of Neisseria gonorrhoeae in Peru]</t>
  </si>
  <si>
    <t>2018 Jan-Mar</t>
  </si>
  <si>
    <t>Ceftriaxone-resistant Neisseria gonorrhoeae, Puerto Rico</t>
  </si>
  <si>
    <t>[Antimicrobal resistance of Neisseria gonorrhoeae strains in Hungary]</t>
  </si>
  <si>
    <t>2015 Feb 8</t>
  </si>
  <si>
    <t>Antimicrobial Susceptibility of Neisseria gonorrhoeae in Bangladesh (2014 Update)</t>
  </si>
  <si>
    <t>2016 Jun 20</t>
  </si>
  <si>
    <t>Sudden emergence of a Neisseria gonorrhoeae clade with reduced susceptibility to extended-spectrum cephalosporins, Norway</t>
  </si>
  <si>
    <t>2020 Dec</t>
  </si>
  <si>
    <t>Antimicrobial resistance and molecular characterisation of Neisseria gonorrhoeae isolates in Fukuoka, Japan, 1996-2016</t>
  </si>
  <si>
    <t>Antimicrobial resistance and molecular epidemiological typing of Neisseria gonorrhoeae isolates from Kyrgyzstan in Central Asia, 2012 and 2017</t>
  </si>
  <si>
    <t>2021 Jun 12</t>
  </si>
  <si>
    <t>Two cases of multidrug-resistant Neisseria gonorrhoeae related to travel in south-eastern Asia, France, June 2019</t>
  </si>
  <si>
    <t>In Vitro Activity of the Novel Pleuromutilin Lefamulin (BC-3781) and Effect of Efflux Pump Inactivation on Multidrug-Resistant and Extensively Drug-Resistant Neisseria gonorrhoeae</t>
  </si>
  <si>
    <t xml:space="preserve"> We evaluated the activity of the novel semisynthetic pleuromutilin 
lefamulin, inhibiting protein synthesis and growth, and the effect of 
efflux pump inactivation on clinical gonococcal isolates and reference 
strains ( = 251), including numerous multidrug-resistant and extensively 
drug-resistant isolates. Lefamulin showed potent activity against all 
gonococcal isolates, and no significant cross-resistance to other 
antimicrobials was identified. Further studies of lefamulin are warranted, 
including  selection and mechanisms of resistance, pharmacokinetics/pharmacodynamics, 
optimal dosing, and performance in randomized controlled trials. </t>
  </si>
  <si>
    <t>2017 Oct 24</t>
  </si>
  <si>
    <t>In vitro activity of mecillinam and nitroxoline against Neisseria gonorrhoeae - re-purposing old antibiotics in the multi-drug resistance era</t>
  </si>
  <si>
    <t>In Vitro Activity of Gepotidacin (GSK2140944) against Neisseria gonorrhoeae</t>
  </si>
  <si>
    <t>2017 Feb 23</t>
  </si>
  <si>
    <t>Evaluation of the activity of ertapenem against gonococcal isolates exhibiting a range of susceptibilities to cefixime</t>
  </si>
  <si>
    <t>2014 Jun</t>
  </si>
  <si>
    <t>In Vitro Susceptibility of Neisseria gonorrhoeae Strains to Mupirocin, an Antibiotic Reformulated for Parenteral Administration in Nanoliposomes</t>
  </si>
  <si>
    <t>2018 Mar 27</t>
  </si>
  <si>
    <t>Analysis of the potential for point-of-care test to enable individualised treatment of infections caused by antimicrobial-resistant and susceptible strains of Neisseria gonorrhoeae: a modelling study</t>
  </si>
  <si>
    <t>2017 Jun 14</t>
  </si>
  <si>
    <t>Gepotidacin for the Treatment of Uncomplicated Urogenital Gonorrhea: A Phase 2, Randomized, Dose-Ranging, Single-Oral Dose Evaluation</t>
  </si>
  <si>
    <t>Background: In this phase 2 study, we evaluated the efficacy and safety of oral gepotidacin, a novel triazaacenaphthylene bacterial type II topoisomerase inhibitor, for the treatment of uncomplicated urogenital gonorrhea.
Methods: Adult participants with suspected urogenital gonorrhea were enrolled and completed baseline (day 1) and test-of-cure (days 4-8) visits. Pretreatment and posttreatment urogenital swabs were collected for Neisseria gonorrhoeae (NG) culture and susceptibility testing. Pharyngeal and rectal swab specimens were collected if there were known exposures. Participants were stratified by gender and randomized 1:1 to receive a 1500-mg or 3000-mg single oral dose of gepotidacin.
Results: The microbiologically evaluable population consisted of 69 participants, with NG isolated from 69 (100%) urogenital, 2 (3%) pharyngeal, and 3 (4%) rectal specimens. Microbiological eradication of NG was achieved by 97%, 95%, and 96% of participants (lower 1-sided exact 95% confidence interval bound, 85.1%, 84.7%, and 89.1%, respectively) for the 1500-mg, 3000-mg, and combined dose groups, respectively. Microbiological cure was achieved in 66/69 (96%) urogenital infections. All 3 failures were NG isolates that demonstrated the highest observed gepotidacin minimum inhibitory concentration of 1 µg/mL and a common gene mutation. At the pharyngeal and rectal sites, 1/2 and 3/3 NG isolates, respectively, demonstrated microbiological cure. There were no treatment-limiting adverse events for either dose.
Conclusions: This study demonstrated that single, oral doses of gepotidacin were ≥95% effective for bacterial eradication of NG in adult participants with uncomplicated urogenital gonorrhea.</t>
  </si>
  <si>
    <t>2018 Aug 1</t>
  </si>
  <si>
    <t>Gonorrhoea treatment combined with population-level general cephalosporin and quinolone consumption may select for Neisseria gonorrhoeae antimicrobial resistance at the levels of NG-MAST genogroup: An ecological study in Europe</t>
  </si>
  <si>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</si>
  <si>
    <t>Assessing Different Partner Notification Methods for Assuring Partner Treatment for Gonorrhea: Looking for the Best Mix of Options</t>
  </si>
  <si>
    <t>2017 May/Jun</t>
  </si>
  <si>
    <t>Gonorrhea Treatment Failures With Oral and Injectable Expanded Spectrum Cephalosporin Monotherapy vs Dual Therapy at 4 Canadian Sexually Transmitted Infection Clinics, 2010-2013</t>
  </si>
  <si>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</si>
  <si>
    <t>First three Neisseria gonorrhoeae isolates with high-level resistance to azithromycin in Sweden: a threat to currently available dual-antimicrobial regimens for treatment of gonorrhea?</t>
  </si>
  <si>
    <t>Neisseria gonorrhoeae has developed resistance to all antimicrobials previously used for first-line treatment of gonorrhea (1). Treatment failures with the extended-spectrum cephalosporins (ESCs) cefixime and ceftriaxone, the only remaining antimicrobials for monotherapy in most countries, have now emerged in several countries (2–5). Consequently, in the United States (6) and Europe (7), dual-antimicrobial therapies recommending ceftriaxone (250 to 500 mg [one dose]) together with azithromycin (1 to 2 g [one dose]) have been introduced. Recently evaluated novel dual-antimicrobial regimens also include azithromycin (together with gentamicin or gemifloxacin) (8). Moreover, in the United States, azithromycin (2 g, one dose) is recommended if the patient has a severe cephalosporin allergy (6), and despite not being recommended, in several countries, azithromycin (1 to 2 g [one dose]) monotherapy remains to be used. It is of grave concern that during recent years, rare gonococcal strains with high-level azithromycin resistance (MIC ≥ 256 μg/ml) have been identified in the United Kingdom, Italy, Argentina, and the United States (2).
This study describes the first three gonococcal isolates with high-level resistance to azithromycin in Sweden (identified in 2011 to 2012).
The gonococcal isolates were cultured from urethral specimens from three patients with symptomatic urethritis, and the species was verified with a sugar utilization test and the Phadebact monoclonal gonococcal test. Phenotypic characterization was performed by using the Etest for determination of MICs (μg/ml) of antimicrobials, the endpoint MIC agar dilution method for azithromycin, synergy testing with agar dilution and calculation of fractional inhibitory concentration (FIC) index values (ΣFICs), and serovar determination (9). Furthermore, N. gonorrhoeae multiantigen sequence typing (NG-MAST) and sequencing of the 23S rRNA gene and mtrR macrolide resistance determinants (9) were performed (Table 1).</t>
  </si>
  <si>
    <t>'Gentamicin 240 mg plus azithromycin 2 g vs. ceftriaxone 500 mg plus azithromycin 2 g for treatment of rectal and pharyngeal gonorrhoea' - Author's reply</t>
  </si>
  <si>
    <t>To the Editor
We are grateful to Dr Sfeir for the insightful comments on our paper [1]. We completely agree that a major limitation with Neisseria gonorrhoeae nucleic acid amplification tests (NAATs) is the lack of complete antimicrobial resistance (AMR) data, which only gonococcal culture can offer. However, in studies focusing on examination of rectal and pharyngeal specimens (as in our study), a gonococcal NAAT for diagnosis is essential due to the exceedingly low sensitivity using culture [2,3]: i.e., ideally both NAAT and culture should be used for all specimens, but this is not always cost-effective or feasible. This strongly emphasizes the importance of developing appropriate rapid molecular assays to predict gonococcal AMR, which ideally could detect N. gonorrhoeae and multiple AMR determinants, and could be used at the point of care. Such assays could be used for diagnosis of gonorrhoea, to inform individualized treatment (sparing the last line of empirical treatment), and for AMR surveillance [4].
We also agree with Dr Sfeir that the many international and national gonorrhoea management guidelines, which recommend different doses of ceftriaxone and azithromycin [5], can be confusing. Few dual therapies have been evaluated in randomized controlled clinical trials (RCTs). Nevertheless, these dual therapies appear to be highly effective in the cure of gonorrhoea (and can also eradicate concomitant Chlamydia trachomatis and some Mycoplasma genitalium infections), and despite perhaps not suppressing the initial emergence of resistance they might mitigate the spread of AMR strains because ceftriaxone-resistant strains might be eradicated by azithromycin and vice versa [[5], [6]]. However, azithromycin 1 g monotherapy is probably insufficient to cure gonorrhoea. In our view azithromycin needs to be given in a 2-g dose in a dual gonorrhoea therapy [1,[7], [8], [9], [10]].
Ceftriaxone 1 g monotherapy will not eradicate all currently circulating N. gonorrhoeae strains, including internationally spreading ceftriaxone-resistant strains with MICs of 0.5–1 mg/L [6,11]. The azithromycin 2-g dose is unfortunately associated with more gastrointestinal adverse effects compared to a 1-g dose [12]. However, as shown in our study, if the patient is not fasting, most of the adverse effects are mild and do not affect the efficacy of treatment [1]. Food/a snack [1,8], or if required an anti-emetic, appears to limit the gastrointestinal adverse effects.
Regarding selection of macrolide resistance in N. gonorrhoeae (i.e. non-susceptibility because azithromycin clinical resistance breakpoint is lacking), Treponema pallidum and M. genitalium by the use of azithromycin in dual therapies for gonorrhoea, the selective pressure for macrolide resistance is substantially higher by the use of azithromycin 1 g for treatment of non-gonococcal urethritis, C. trachomatis, M. genitalium, and also other infections such as respiratory tract infections [13]. We urgently need better understanding of the selection of resistance in N. gonorrhoeae and other STIs, including fitness of AMR strains, and pharmacokinetics/pharmacodynamics of STI treatment regimens. New antimicrobials for effective treatment of gonorrhoea are also imperative [14].
Finally, we agree that more RCTs for treatment of gonorrhoea are essential, and these RCTs need to include also rectal and particularly pharyngeal infections, which are substantially more difficult to eradicate than anogenital infections [1,5,6,[8], [9], [10]]. Because the gonococcal AMR situation may change very quickly, we also need to rely on in vitro AMR surveillance, which needs to be significantly strengthened globally [6], and we need a substantially enhanced understanding of pharmacokinetics/pharmacodynamics of new and current STI treatment regimens, which likely can be further optimized (e.g. by multiple doses) in regard to efficacy as well as suppression of resistance emergence.</t>
  </si>
  <si>
    <t>2020 Jun</t>
  </si>
  <si>
    <t>Gentamicin in vitro activity and tentative gentamicin interpretation criteria for the CLSI and calibrated dichotomous sensitivity disc diffusion methods for Neisseria gonorrhoeae</t>
  </si>
  <si>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</si>
  <si>
    <t>Single-Arm Open-Label Clinical Trial of Two Grams of Aztreonam for the Treatment of Neisseria gonorrhoeae</t>
  </si>
  <si>
    <t>The threat of ceftriaxone-resistant Neisseria gonorrhoeae necessitates new gonorrhea treatment regimens. Repurposing older antibiotics not routinely used for N. gonorrhoeae may expeditiously identify new therapies. Ideally, all recommended therapies should eradicate gonorrhea at the pharynx. Between April and September 2019, we enrolled men in an open-label, one-arm clinical trial of single-dose intramuscular aztreonam (2 g). Enrollment criterion included (i) nucleic acid amplification test (NAAT)-positive pharyngeal gonorrhea for ≤14 days or (ii) Gram stain-positive gonococcal urethritis plus report of performing oral sex in ≤2 months. At enrollment, we collected cultures from NAAT-positive or screening sites, and men returned 3 to 8 days following treatment for a test of cure (TOC) by culture. The per-protocol analysis required men to be culture positive at enrollment and to return for TOC. We calculated efficacy as the number of subjects with negative culture at TOC divided by the number culture positive at enrollment by anatomic site. Thirty-two men enrolled in the study; 21 were pharyngeal NAAT positive, and 11 had gonococcal urethritis. The per-protocol analysis included 17 men, 6 with pharyngeal, 9 with urethral, and 4 with rectal gonococcal infections. Aztreonam cured 2 of 6 pharyngeal infections (33%; 95% confidence interval [CI], 4.3% to 78%) and 3 of 4 rectal infections (75%; 95% CI, 19% to 99%). All 11 men with urethritis were cured (100%; 95% CI, 66% to 100%). The aztreonam MIC90 was 0.5 μg/ml (range, 0.06 to 2.0 μg/ml). All treatment failures occurred at a MIC of ≥0.25 μg/ml. Single-dose aztreonam is not a reliable treatment for gonorrhea at the pharynx but may be useful for men with gonococcal urethritis and beta-lactam allergy. (This study has been registered at ClinicalTrials.gov under identifier NCT03867734.).</t>
  </si>
  <si>
    <t>2020 Dec 16</t>
  </si>
  <si>
    <t>Machine Learning Platform to Discover Novel Growth Inhibitors of Neisseria gonorrhoeae</t>
  </si>
  <si>
    <t xml:space="preserve">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
</t>
  </si>
  <si>
    <t>2020 Jul 13</t>
  </si>
  <si>
    <t>The 2012 European guideline on the diagnosis and treatment of gonorrhoea in adults recommends dual antimicrobial therapy</t>
  </si>
  <si>
    <t xml:space="preserve">The ’2012 European guideline on the diagnosis and treatment of gonorrhoea in adults’ was launched on November 15, 2012 on the website for European STI Guidelines and is also accepted for publication in International Journal of STD &amp; AIDS [1]. The newly launched guideline, an updated version of the 2009 European (IUSTI/WHO) guideline on the diagnosis and treatment of gonorrhoea in adults [2], provides up-to-date guidance on:
broader indications for testing and treatment of gonorrhoea;
the introduction of dual antimicrobial therapy. The recommended treatment for uncomplicated Neisseria gonorrhoeae infections of the urethra, cervix, rectum and pharynx, when the antimicrobial sensitivity is unknown, is a combination of ceftriaxone 500 mg and azithromycin 2 g;
recommendation of test of cure in all gonorrhoea cases to ensure eradication of infection and identify emerging resistance;
recommendations to identify, verify and report failures with recommended treatment regimens [3-5].
Further details regarding recommended diagnostics, recommended and alternative treatment regimens, treatment of ceftriaxone-resistant gonorrhoea, management of additional types of gonococcal infections or complications and of specific patient groups are also available in the newly launched guidelines [1].
Gonorrhoea remains a major public health problem. In 2008, the World Health Organization (WHO) estimated 106 million cases among adults worldwide (3.4 million in the WHO European region) [3]. In the European Union (EU), gonorrhoea is the second most commonly reported bacterial sexually transmitted infection (STI) after chlamydia [4]. However, the incidence is underestimated because of suboptimal diagnostics, case reporting and surveillance.
During recent years, resistance has been identified to the recommended extended-spectrum cephalosporins cefixime and ceftriaxone, the mainstay of first-line antimicrobial monotherapy for gonorrhoea [2]. Several treatment failures with cefixime and a few with ceftriaxone were recently verified in Europe, together with the first three extensively drug-resistant (XDR) N. gonorrhoeae strains with high-level ceftriaxone resistance [5,6]. In this developing situation, the WHO [3] and the European Center for Disease Prevention and Control (ECDC) [4] published global and regional action/response plans, respectively, to combat and mitigate the spread of multidrug-resistant gonorrhoea. This emergence of resistance has prompted revision of national and international treatment/management guidelines.
</t>
  </si>
  <si>
    <t>2012 Nov 22</t>
  </si>
  <si>
    <t>Serum Complement Activation by C4BP-IgM Fusion Protein Can Restore Susceptibility to Antibiotics in Neisseria gonorrhoeae</t>
  </si>
  <si>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t>
  </si>
  <si>
    <t>2021 Sep 1</t>
  </si>
  <si>
    <t>In vitro activity of tigecycline alone and antimicrobial combinations against clinical Neisseria gonorrhoeae isolates</t>
  </si>
  <si>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</si>
  <si>
    <t>Bactericidal Effect of 5-Mercapto-2-nitrobenzoic Acid-Coated Silver Nanoclusters against Multidrug-Resistant Neisseria gonorrhoeae</t>
  </si>
  <si>
    <t>Neisseria gonorrhoeae is among the most multidrug-resistant bacteria in circulation today, and new treatments are urgently needed. In this work, we demonstrate the ability of 5-mercapto-2-nitrobenzoic acid-coated silver nanoclusters (MNBA-AgNCs) to kill strains of Neisseria gonorrhoeae. Using an in vitro bactericidal assay, MNBA-AgNCs had been found to show significantly higher anti-gonococcal bioactivity than the antibiotics ceftriaxone and azithromycin and silver nitrate. These nanoclusters were effective against both planktonic bacteria and a gonococcal infection of human cell cultures in vitro. Treatment of human cells in vitro with MNBA-AgNCs did not induce significant release of lactate dehydrogenase, suggesting minimal cytotoxicity to eukaryotic cells. Our results suggest that MNBA-AgNCs hold great potential for topical treatment of localized gonorrhoeae.</t>
  </si>
  <si>
    <t>2020 Jun 24</t>
  </si>
  <si>
    <t>In Vitro Susceptibility to Closthioamide among Clinical and Reference Strains of Neisseria gonorrhoeae</t>
  </si>
  <si>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t>
  </si>
  <si>
    <t>2017 Sep 22</t>
  </si>
  <si>
    <t>In Vitro Efficacy of Gentamicin Alone and in Combination with Ceftriaxone, Ertapenem, and Azithromycin against Multidrug-Resistant Neisseria gonorrhoeae</t>
  </si>
  <si>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</si>
  <si>
    <t>2021 Oct 31</t>
  </si>
  <si>
    <t>Antimicrobial activity of enacyloxin IIa and gladiolin against the urogenital pathogens Neisseria gonorrhoeae and Ureaplasma spp</t>
  </si>
  <si>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</si>
  <si>
    <t>2021 May</t>
  </si>
  <si>
    <t>Further evidence to support the individualised treatment of gonorrhoea with ciprofloxacin</t>
  </si>
  <si>
    <t>Is there a future for the ongoing use of azithromycin for the treatment of Neisseria gonorrhoeae?</t>
  </si>
  <si>
    <t>2020 Feb</t>
  </si>
  <si>
    <t>In vitro activity and time-kill curve analysis of sitafloxacin against a global panel of antimicrobial-resistant and multidrug-resistant Neisseria gonorrhoeae isolates</t>
  </si>
  <si>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t>
  </si>
  <si>
    <t>Secretory leukocyte protease inhibitor binds to Neisseria gonorrhoeae outer membrane opacity protein and is bactericidal</t>
  </si>
  <si>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</si>
  <si>
    <t>2012 Aug</t>
  </si>
  <si>
    <t>In vitro assessment of gentamicin and azithromycin-based combination therapy against Neisseria gonorrhoeae isolates in India</t>
  </si>
  <si>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</si>
  <si>
    <t>In Vitro Activity of Lefamulin against Sexually Transmitted Bacterial Pathogens</t>
  </si>
  <si>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t>
  </si>
  <si>
    <t>N-(1,3,4-Oxadiazol-2-yl)Benzamides as Antibacterial Agents against Neisseria gonorrhoeae</t>
  </si>
  <si>
    <t>The Centers for Disease Control and Prevention (CDC) recognizes Neisseria gonorrhoeae as an urgent-threat Gram-negative bacterial pathogen. Additionally, resistance to frontline treatment (dual therapy with azithromycin and ceftriaxone) has led to the emergence of multidrug-resistant N. gonorrhoeae, which has caused a global health crisis. The drug pipeline for N. gonorrhoeae has been severely lacking as new antibacterial agents have not been approved by the FDA in the last twenty years. Thus, there is a need for new chemical entities active against drug-resistant N. gonorrhoeae. Trifluoromethylsulfonyl (SO2CF3), trifluoromethylthio (SCF3), and pentafluorosulfanyl (SF5) containing N-(1,3,4-oxadiazol-2-yl)benzamides are novel compounds with potent activities against Gram-positive bacterial pathogens. Here, we report the discovery of new N-(1,3,4-oxadiazol-2-yl)benzamides (HSGN-237 and -238) with highly potent activity against N. gonorrhoeae. Additionally, these new compounds were shown to have activity against clinically important Gram-positive bacteria, such as methicillin-resistant Staphylococcus aureus (MRSA), vancomycin-resistant enterococci (VRE), and Listeria monocytogenes (minimum inhibitory concentrations (MICs) as low as 0.25 µg/mL). Both compounds were highly tolerable to human cell lines. Moreover, HSGN-238 showed an outstanding ability to permeate across the gastrointestinal tract, indicating it would have a high systemic absorption if used as an anti-gonococcal therapeutic.</t>
  </si>
  <si>
    <t>2021 Feb 28</t>
  </si>
  <si>
    <t>Ciprofloxacin May be Efficacious in Treating Wild-Type Gyrase A Genotype Neisseria gonorrhoeae Infections</t>
  </si>
  <si>
    <t>Antibiotic resistance in Neisseria gonorrhoea and treatment outcomes of gonococcal urethritis suspected patients in two large hospitals in Bhutan, 2015</t>
  </si>
  <si>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</si>
  <si>
    <t>Global transmission of multiple-drug resistant Neisseria gonorrhoeae strains refractive to cephalosporin treatment</t>
  </si>
  <si>
    <t>Recently, in many countries gonorrhea cases are on the rise. The World Health Organization estimated global annual gonorrhea cases of 62 million in 1999. Gonorrhea infection may increase susceptibility to and transmission of human immunodeficiency virus (HIV). In addition, due to sharing of same transmission route and overlapping risk groups, gonorrhea may serve as a risk marker for infection of HIV and other sexually transmitted infections. In Taiwan, according to Statistics of Communicable Diseases and Surveillance of Taiwan-CDC, 2265 new cases were reported for 2010, with an incidence of 9.79 per 100,000 people.
In only a few decades, Neisseria gonorrhoeae has rapidly developed resistance to multiple antibiotics, such as sulfanilamide, penicillins, tetracyclines, and fluoroquinolones. Recently, the third generation cephalosporins, or extended-spectrum cephalosporin (ESC), currently the last remaining treatment options in the drug pipeline, were proposed as alternative antibiotics for treatment of gonorrhea. However, susceptibility to all ESCs (oral and injectable) is decreasing rapidly. Alarmingly, treatment failures with oral ESCs have been reported in many countries. In Taiwan, according to the 2133 isolates (representing 26.7% of the 8,001 reported cases) of gonococci-National Isolate Collection for Epidemiology (G-NICE) surveillance spanning 2008–2011, resistant rates [criteria: European Committee on Antimicrobial Susceptibility Testing (EUCAST) 2011, R: Minimum Inhibitory Concentration (MIC) ≥ 0.25 mg/L and Clinical And Laboratory Standards Institute (CLSI) 2011, S: MIC ≤ 0.25 mg/L] to the oral cephalosporin, cefixime was 2.63% for MIC ≥0.25 mg/L, while for injectable cephalosporin, ceftriaxone was 0% for MIC ≥ 0.25 mg/L. The maximum MIC was 0.5 mg/L and 0.19 mg/L for cefixime and ceftriaxone, respectively (our unpublished G-NICE surveillance data).
Molecular epidemiology study employing molecular typing methods such as N gonorrhoeae multiantigen sequence typing (NG-MAST) or serotyping in conjunction with sequencing the penA allele encoding penicillin-binding protein 2 and other resistance determinants (mtrR, penB, ponA, and pilQ) is helpful in tracing the resistant clones.1 Recent studies have indicated that most of the gonococcal isolates with decreased susceptibility to the ESC belongs to a few specific major clones. In Taiwan, the majority of cefixime-reduced susceptible strains belong to related clones containing NG-MAST type10 tbpB and mosaic types X penA allele such as sequence type (ST) 835, 2180, and ST2253. These clones are multidrug resistant (MDR) with a high percentage of resistance rate to penicillin, tetracycline, and ciprofloxacin, and mostly circulate in high-risk homosexual or bisexual sexual networks.2
More recently, global rapid spread of ESC-reduced susceptible ST1407 and related STs that share the tpbB allele (allele 110), but with different por alleles (por 908 related) and harbor mosaic penA allele types XXXIV have been reported in Japan3 and in Europe4, 5, 6, such as England and Wales, Sweden, the Netherlands, Norway, and Italy. ST1407 is a successful clone and has Previously been found in the United States, Australia, and many European countries. The threat is imminent with increasing reports on MDR ST1407 strains render ESC treatment failure in many European countries,7, 8 such as France, Sweden, England and Norway.
The emergence of MDR ST1407 with decreased susceptibility to ESCs, such as ST1407, threatens to erode the last remaining effective agents for treatment of gonorrhea. The rapid spread of these clones might be facilitated by high-risk sexual behavior and should be monitored closely to identify potential treatment failure. Increasing frequency of MDR gonococci with reduced susceptibility to ESC especially in some high-risk groups such as men who have sex with men has been noted.9 Continuous and global concerted surveillanceare paramount to trace the emergence, introduction, and transmission of specific strains as well as the sexual networks they circulate. The finding that these specific clones may transmit across national boundaries and between different sexual networks highlights the need for undertaking intervention as well as risk-reduction consultation in such core-risk groups.10</t>
  </si>
  <si>
    <t>NO</t>
  </si>
  <si>
    <t>Treatment guidelines after an outbreak of azithromycin-resistant Neisseria gonorrhoeae in South Australia</t>
  </si>
  <si>
    <t>Antimicrobial resistance in Neisseria gonorrhoeae is recognised globally as a public health threat. Dual therapy with ceftriaxone and azithromycin has been introduced in Australia and elsewhere as the first-line treatment recommendation for gonorrhoea. While there have been only sporadic reports of ceftriaxone-resistant gonococci, globally there have been increasing reports of N gonorrhoeae resistance to azithromycin.1 The Australian Gonococcal Surveillance Programme2 is one of the most comprehensive N gonorrhoeae antimicrobial resistance surveillance programmes worldwide. Here, we report an outbreak of azithromycin-resistant N gonorrhoeae that has resulted in a change in treatment guidelines.
Until recently, levels of N gonorrhoeae azithromycin resistance in Australia have remained relatively low, averaging approximately 3% (eg, 119 of 4804 tested isolates in 2014) nationally over the past 3 years,2 and below the WHO threshold for action of 5% resistance.3 However, in the Australian state of South Australia, azithromycin resistance significantly increased (p&lt;0·0001) from less than 5% (seven of 158 isolates) in the second half of 2015 to 30% (26 of 88 isolates) in the first quarter of 2016, and remained at 23% (25 of 110 isolates) in the second quarter of 2016, before dropping to 8% (five of 65 isolates) in the third quarter (figure).4 Minimum inhibitory concentration values for azithromycin-resistant isolates from 2016 (n=56; 37 men and 19 women) ranged from 1·0 mg/L to 8·0 mg/L (azithromycin resistance is defined as ≥1·0 mg/L). All isolates were susceptible to ceftriaxone and all but one were penicillinase producers. Molecular testing of 28 isolates from the first two quarters of 2016 were carried out with a previously described assay to detect a recognised azithromycin resistance mutation (23S ribosomal RNA 2611C →T)5 and genotyped by N gonorrhoeae multiantigen sequence typing (NG-MAST). All isolates were positive for the 2611C→T mutation and were of three NG-MAST types; most were sequence type 6747 (n=25) and the remaining were novel sequence types 14060 (n=2) and 14061 (n=1), having 99% homology with sequence type 6747.
Download: Download high-res image (167KB)
Download: Download full-size image
Figure. Azithromycin resistance levels among Neisseria gonorrhoeae isolates in the Australian state of South Australia (2015–16)
Error bars denote 95% CI.
Available case notes (n=27) showed all patients were heterosexual, two were sex workers, and two were contacts of sex workers. One clinical treatment failure was recorded; the patient did not receive first-line ceftriaxone therapy due to allergy and instead received 2 g of azithromycin orally on two occasions before cure was achieved with 240 mg gentamicin intramuscularly and 500 mg ciprofloxacin orally.
In response to this outbreak, single agent azithromycin has been removed from South Australian gonococcal treatment guidelines. Ceftriaxone with concomitant azithromycin (1 g) remains the first-line treatment, but the second-line regimen now includes gentamicin concomitant with an increased dose of 2 g oral azithromycin. Test of cure is now indicated as crucial for all patients treated with second-line regimens. Overall, these data raise new concerns about the ongoing efficacy of azithromycin, either as a monotherapy or in dual therapy, for treatment of gonorrhoea.
All authors declare no competing interests. This study was done as part of the reference work of the National Neisseria Network, Australia and the Australian Gonococcal Surveillance Programme, which is funded by the Australian Government Department of Health and Ageing. DW is a recipient of an NHMRC fellowship. ML and AW declare no competing interests. DW reports research funding from SpeeDx Pty Ltd. We thank Rodney Enriquez from South Eastern Area Laboratory Services, Sydney, NSW, Australia for his assistance with the study.</t>
  </si>
  <si>
    <t>In Vitro Synergy Testing of Gentamicin, an Old Drug Suggested as Future Treatment Option for Gonorrhoea, in Combination With Six Other Antimicrobials Against Multidrug-Resistant Neisseria gonorrhoeae Strains</t>
  </si>
  <si>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</si>
  <si>
    <t>2018 Feb</t>
  </si>
  <si>
    <t>Antimicrobial Blue Light Inactivation of Neisseria gonorrhoeae: Roles of Wavelength, Endogenous Photosensitizer, Oxygen, and Reactive Oxygen Species</t>
  </si>
  <si>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</si>
  <si>
    <t>2019 Nov</t>
  </si>
  <si>
    <t>High in vitro activity of a novel dual bacterial topoisomerase inhibitor of the ATPase activities of GyrB and ParE (VT12-008911) against Neisseria gonorrhoeae isolates with various high-level antimicrobial resistance and multidrug resistance</t>
  </si>
  <si>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t>
  </si>
  <si>
    <t>Selective Inhibition of Neisseria gonorrhoeae by a Dithiazoline in Mixed Infections with Lactobacillus gasseri</t>
  </si>
  <si>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t>
  </si>
  <si>
    <t>2018 Nov 26</t>
  </si>
  <si>
    <t>Will use of combination cephalosporin/azithromycin therapy forestall resistance to cephalosporins in Neisseria gonorrhoeae?</t>
  </si>
  <si>
    <t>In vitro antimicrobial effect and mechanism of action of plasma-activated liquid on planktonic Neisseria gonorrhoeae</t>
  </si>
  <si>
    <t>Neisseria gonorrhoeae (Ng) is highly resistant to treatment, and there is an urgent need for new treatments to alleviate gonococcal resistance caused by antibiotic monotherapy. The antimicrobial effect and mechanism of plasma-activated liquid (PAL) on Ng were evaluated in this study. Upon PAL treatment, extensively analyses on cell culturability, metabolic capacity, intracellular reactive oxygen species (ROS),membrane integrity and nucleic acids for Ng were carried out and significant antimicrobial effects observed.PAL exerted antibacterial effect on Ng and induced bacterial death (6.71-log) following immersion for 30 min and treatment for 120 s. However, bacterial viability test revealed that after immersion in the same PAL, 10.17% of bacteria retained their metabolic capacity. This indicates that bacteria enter a physiological viable but non-culturable state to protect themselves from environmental stress. Confocal fluorescence microscopy and transmission electron microscopy demonstrated that PAL exerts bactericidal effect on Ng and disrupts its morphological structure. PAL may upregulate inflammatory factors and genes to modulate the resistance of Ng and affect the immune status of the host during infection.</t>
  </si>
  <si>
    <t>[Solanum torvum, toxicological evaluation on microorganisms and sperm cells]</t>
  </si>
  <si>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</si>
  <si>
    <t>2012 Jul-Aug</t>
  </si>
  <si>
    <t>Evaluation of apramycin against spectinomycin-resistant and -susceptible strains of Neisseria gonorrhoeae</t>
  </si>
  <si>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</si>
  <si>
    <t>Human Factor H Domains 6 and 7 Fused to IgG1 Fc Are Immunotherapeutic against Neisseria gonorrhoeae</t>
  </si>
  <si>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</si>
  <si>
    <t>2018 Nov 1</t>
  </si>
  <si>
    <t>Efficacy and Safety of Single-Dose Oral Delafloxacin Compared With Intramuscular Ceftriaxone for Uncomplicated Gonorrhea Treatment: An Open-Label, Noninferiority, Phase 3, Multicenter, Randomized Study</t>
  </si>
  <si>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considered.ClinicalTrials.gov Identifier: NCT02015637.</t>
  </si>
  <si>
    <t>Gentamicin, azithromycin and ceftriaxone in the treatment of gonorrhoea: the relationship between antibiotic MIC and clinical outcome</t>
  </si>
  <si>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t>
  </si>
  <si>
    <t>2020 Feb 1</t>
  </si>
  <si>
    <t>Lactobacillus crispatus inhibits growth of Gardnerella vaginalis and Neisseria gonorrhoeae on a porcine vaginal mucosa model</t>
  </si>
  <si>
    <t>Background: The vaginal microbiota can impact the susceptibility of women to bacterial vaginosis (BV) and sexually transmitted infections (STIs). BV is characterized by depletion of Lactobacillus spp., an overgrowth of anaerobes (often dominated by Gardnerella vaginalis) and a pH &gt; 4.5. BV is associated with an increased risk of acquiring STIs such as chlamydia and gonorrhea. While these associations have been identified, the molecular mechanism(s) driving the risk of infections are unknown. An ex vivo porcine vaginal mucosal model (PVM) was developed to explore the mechanistic role of Lactobacillus spp. in affecting colonization by G. vaginalis and Neisseria gonorrhoeae.
Results: The data presented here demonstrate that all organisms tested can colonize and grow on PVM to clinically relevant densities. Additionally, G. vaginalis and N. gonorrhoeae form biofilms on PVM. It was observed that lactic acid, acetic acid, and hydrochloric acid inhibit the growth of G. vaginalis on PVM in a pH-dependent manner. N. gonorrhoeae grows best in the presence of lactic acid at pH 5.5, but did not grow well at this pH in the presence of acetic acid. Finally, a clinical Lactobacillus crispatus isolate (24-9-7) produces lactic acid and inhibits growth of both G. vaginalis and N. gonorrhoeae on PVM.
Conclusions: These data reveal differences in the effects of pH, various acids and L. crispatus on the growth of G. vaginalis and N. gonorrhoeae on a live vaginal mucosal surface. The PVM is a useful model for studying the interactions of commensal vaginal microbes with pathogens and the mechanisms of biofilm formation on the vaginal mucosa.</t>
  </si>
  <si>
    <t>2015 Dec 9</t>
  </si>
  <si>
    <t>In vitro activity of the novel oral antimicrobial SMT-571, with a new mechanism of action, against MDR and XDR Neisseria gonorrhoeae: future treatment option for gonorrhoea?</t>
  </si>
  <si>
    <t>Background: Lack of effective treatment of gonorrhoea due to increasing antimicrobial resistance in Neisseria gonorrhoeae is a serious threat to the management and control of the infection. Novel antimicrobials are required to prevent the infection becoming untreatable.
Objectives: Herein, we investigated the in vitro activity of a novel small-molecule antimicrobial with a new mechanism of action, SMT-571, against a large collection of clinical N. gonorrhoeae isolates (n = 228) and international gonococcal reference strains (n = 34), including numerous MDR and XDR gonococcal isolates.
Methods: MICs of SMT-571 were determined by agar dilution and MICs of ceftriaxone, cefixime, azithromycin, ciprofloxacin, ampicillin, spectinomycin and tetracycline were determined by Etest.
Results: SMT-571 showed potent in vitro activity against all the tested N. gonorrhoeae isolates (n = 262). The MICs ranged from 0.064 to 0.125 mg/L and the MIC50, MIC90 and modal MIC were all 0.125 mg/L. No cross-resistance or correlation between the MICs of SMT-571 and comparator agents was seen.
Conclusions: SMT-571 demonstrated potent in vitro activity against all tested gonococcal isolates and no cross-resistance to previously and currently used antimicrobials was seen. With its promising supplementary in vitro and in vivo preclinical data, including high levels of oral bioavailability, SMT-571 could be an effective option for the oral treatment of gonorrhoea. Randomized controlled clinical trials for gonorrhoea that examine the treatment efficacy, pharmacokinetics/pharmacodynamics, toxicity and safety of SMT-571, and include urogenital and extragenital (rectal and pharyngeal) samples, are crucial.</t>
  </si>
  <si>
    <t>2019 Jun 1</t>
  </si>
  <si>
    <t>Lipophilic quinolone derivatives: Synthesis and in vitro antibacterial evaluation</t>
  </si>
  <si>
    <t>Abstract
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</si>
  <si>
    <t>2022 Jan 1</t>
  </si>
  <si>
    <t>Re: 'Gentamicin 240 mg plus azithromycin 2 g vs. ceftriaxone 500 mg plus azithromycin 2 g for treatment of rectal and pharyngeal gonorrhoea' by Rob et al</t>
  </si>
  <si>
    <t>Gardnerella vaginalis and Neisseria gonorrhoeae Are Effectively Inhibited by Lactobacilli with Probiotic Properties Isolated from Brazilian Cupuaçu (Theobroma grandiflorum) Fruit</t>
  </si>
  <si>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</si>
  <si>
    <t>2021 Apr 29</t>
  </si>
  <si>
    <t>Antibacterial activity of ceramide and ceramide analogs against pathogenic Neisseria</t>
  </si>
  <si>
    <t xml:space="preserve">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
</t>
  </si>
  <si>
    <t>2017 Dec 15</t>
  </si>
  <si>
    <t>In-Vitro Evaluation of Antimicrobial Activities of Escherichia coli, Klebsiella pneumoniae, Salmonella typhi, Neisseria gonorrhoeae, and Candida albicans Nosodes</t>
  </si>
  <si>
    <t>Background: This study presents the results of the minimum inhibitory concentration (MIC) assay of a series of nosodes: namely Escherichia coli, Klebsiella pneumoniae, Salmonella typhi, Neisseria gonorrhoeae, and Candida albicans. Each was tested against its corresponding infection as well as cross infections.
Methods: In-vitro efficacy of polyvalent nosodes was tested using the MIC assay technique. The nosodes, namely C. albicans polyvalent nosode (35c, 100c), N. gonorrhoeae (35c), K. pneumoniae (35c, 100c), E. coli polyvalent nosode (35c, 100c) and Salmonella typhi polyvalent nosode (30c, 100c), were tested along with positive and negative controls. Nosodes were studied in different potencies and at 1:1 dilution.
Results: C. albicans polyvalent nosode 35c, 100c, N. gonorrhoeae 35c, and positive control amphotericin B showed inhibition of the growth of C. albicans species. K. pneumoniae 35c, E. coli polyvalent nosode 100c, and meropenem (positive control) showed inhibition of the growth of K. pneumoniae; this effect was not seen with ceftriaxone, ofloxacin and amoxicillin antibiotics. E. coli polyvalent nosode 30c in 10% alcohol (direct and dilution 1:1) and the positive controls ciprofloxacin, ofloxacin, and amoxicillin showed inhibition of the growth of E. coli. The S. typhi polyvalent nosode 30c in 10% alcohol showed inhibition of growth of S. typhi.
Conclusion: This study reveals that the tested nosodes exhibited antibacterial potential against the corresponding micro-organisms and against other selected organisms studied using this assay.</t>
  </si>
  <si>
    <t>Octenidine/carbenicillin GUMBOS as potential treatment for oropharyngeal gonorrhoea</t>
  </si>
  <si>
    <t xml:space="preserve">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
</t>
  </si>
  <si>
    <t>2020 Dec 1</t>
  </si>
  <si>
    <t>Reconsidering Presumptive Neisseria gonorrhoeae Treatment For Women With Cervicitis</t>
  </si>
  <si>
    <t>change treatment</t>
  </si>
  <si>
    <t>In vitro synergy testing of novel antimicrobial combination therapies against Neisseria gonorrhoeae</t>
  </si>
  <si>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</si>
  <si>
    <t>Temocillin in vitro activity against recent clinical isolates of Neisseria gonorrhoeae compared with penicillin, ceftriaxone and ciprofloxacin</t>
  </si>
  <si>
    <t>In vitro activities of the novel bicyclolides modithromycin (EDP-420, EP-013420, S-013420) and EDP-322 against MDR clinical Neisseria gonorrhoeae isolates and international reference strains</t>
  </si>
  <si>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t>
  </si>
  <si>
    <t>2015 Jan</t>
  </si>
  <si>
    <t>Evaluation of alternative antibiotics for susceptibility of gonococcal isolates from China</t>
  </si>
  <si>
    <t>The efficacy of the currently recommended first-line treatments for gonococcal infections - ceftriaxone monotherapy or ceftriaxone/azithromycin dual therapy - is waning rapidly, and efficient alternative antimicrobials are needed urgently to ensure that future treatment of gonorrhoea remains available. As such, the aim of this study was to screen alternative clinically approved antimicrobials for in-vitro activity against Neisseria gonorrhoeae. The susceptibility levels of 504 clinical isolates from Zhejiang Province, China to ertapenem, tigecycline, gentamicin, fosfomycin, gemifloxacin, doxycycline and rifampicin were investigated using the agar dilution method. The presence of resistance determinants was identified by polymerase chain reaction and sequencing. The minimum inhibitory concentration inhibiting 90% of growth (MIC90) was 0.06 mg/L for ertapenem, 0.25 mg/L for tigecycline, 16 mg/L for doxycycline, 4 mg/L for gemifloxacin, 16 mg/L for gentamicin, 32 mg/L for fosfomycin and 128 mg/L for rifampicin. All strains appeared to be susceptible to tigecycline (MIC ≤0.5 mg/L), while a poor correlation between tigecycline and tetracycline susceptibility was observed, indicating that tetracycline resistance determinants have little impact on tigecycline susceptibility. For ertapenem, 30 isolates showed an MIC &gt;0.125 mg/L, but the correlation between ertapenem and ceftriaxone susceptibility was low and only two strains showed an MIC &gt;0.125 mg/L for both antibiotics. Therefore, it appeared that most ceftriaxone-resistant isolates were still susceptible to ertapenem. In conclusion, tigecycline and ertapenem showed good activity against N. gonorrhoeae and limited cross-resistance with previously used antibiotics. Therefore, they might be interesting candidates for further evaluation of their suitability as alternative antigonococcal therapies.</t>
  </si>
  <si>
    <t>Antibacterial Activity of Chitosan Nanoparticles Against Pathogenic N. gonorrhoea</t>
  </si>
  <si>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t>
  </si>
  <si>
    <t>2020 Oct 13</t>
  </si>
  <si>
    <t>Antibiotic Treatment Regimes as a Driver of the Global Population Dynamics of a Major Gonorrhea Lineage</t>
  </si>
  <si>
    <t>The Neisseria gonorrhoeae multilocus sequence type (ST) 1901 is among the lineages most commonly associated with treatment failure. Here, we analyze a global collection of ST-1901 genomes to shed light on the emergence and spread of alleles associated with reduced susceptibility to extended-spectrum cephalosporins (ESCs). The genetic diversity of ST-1901 falls into a minor and a major clade, both of which were inferred to have originated in East Asia. The dispersal of the major clade from Asia happened in two separate waves expanding from ∼1987 and 1996, respectively. Both waves first reached North America, and from there spread to Europe and Oceania, with multiple secondary reintroductions to Asia. The ancestor of the second wave acquired the penA 34.001 allele, which significantly reduces susceptibility to ESCs. Our results suggest that the acquisition of this allele granted the second wave a fitness advantage at a time when ESCs became the key drug class used to treat gonorrhea. Following its establishment globally, the lineage has served as a reservoir for the repeated emergence of clones fully resistant to the ESC ceftriaxone, an essential drug for effective treatment of gonorrhea. We infer that the effective population sizes of both clades went into decline as treatment schemes shifted from fluoroquinolones via ESC monotherapy to dual therapy with ceftriaxone and azithromycin in Europe and the United States. Despite the inferred recent population size decline, the short evolutionary path from the penA 34.001 allele to alleles providing full ceftriaxone resistance is a cause of concern.</t>
  </si>
  <si>
    <t>2021 Apr 13</t>
  </si>
  <si>
    <t>Treatment of human challenge and MDR strains of Neisseria gonorrhoeae with LpxC inhibitors</t>
  </si>
  <si>
    <t>Objectives: Inhibitors of UDP-3-O-(R-3-hydroxymyristoyl)-N-acetylglucosamine deacetylase (LpxC), which catalyses the second step in the biosynthesis of lipid A, have been developed as potential antibiotics for Gram-negative infections. Our objectives were to determine the effect of LpxC inhibition on the in vitro survival and inflammatory potential of Neisseria gonorrhoeae.
Methods: Survival of four human challenge strains was determined after treatment with two LpxC inhibitors for 2 and 4 h. To confirm results from treatment and assess their anti-inflammatory effect, the expression of TNF-α by human THP-1 monocytic cells infected with bacteria in the presence of the LpxC inhibitors was quantified. Cytotoxicity of inhibitors for THP-1 cells was evaluated by release of lactate dehydrogenase. Survival of five MDR strains was determined after 2 h of treatment with an LpxC inhibitor and the effect of co-treatment on MICs of ceftriaxone and azithromycin was examined.
Results: The inhibitors had bactericidal activity against the four human challenge and five MDR strains with one compound exhibiting complete killing at ≥5 mg/L after either 2 or 4 h of treatment. Treatment of gonococci infecting THP-1 monocytic cells reduced the levels of TNF-α probably owing to reduced numbers of bacteria and a lower level of expression of lipooligosaccharide. Neither inhibitor exhibited cytotoxicity for THP-1 cells. The MIC of azithromycin was slightly lowered by sublethal treatment of two MDR strains with an LpxC inhibitor.
Conclusions: Our in vitro results demonstrated promising efficacy of LpxC inhibition of N. gonorrhoeae that warrants further investigation particularly owing to the rise in MDR gonorrhoea.</t>
  </si>
  <si>
    <t>Repurposing an old drug: aztreonam as a new treatment strategy for gonorrhoea</t>
  </si>
  <si>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</si>
  <si>
    <t>2017 May 1</t>
  </si>
  <si>
    <t>Gonococcal MtrE and its surface-expressed Loop 2 are immunogenic and elicit bactericidal antibodies</t>
  </si>
  <si>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</si>
  <si>
    <t>Antimicrobial peptide LL-37 and its truncated forms, GI-20 and GF-17, exert spermicidal effects and microbicidal activity against Neisseria gonorrhoeae</t>
  </si>
  <si>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</si>
  <si>
    <t>2018 Dec 1</t>
  </si>
  <si>
    <t>Lactiplantibacillus plantarum strains isolated from spontaneously fermented cocoa exhibit potential probiotic properties against Gardnerella vaginalis and Neisseria gonorrhoeae</t>
  </si>
  <si>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</si>
  <si>
    <t>2021 Jun 29</t>
  </si>
  <si>
    <t>Antimicrobial Blue Light Inactivation of Microbial Isolates in Biofilms</t>
  </si>
  <si>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 Lasers Surg. Med. © 2019 Wiley Periodicals, Inc.</t>
  </si>
  <si>
    <t>agentes fisicos</t>
  </si>
  <si>
    <t>Cationic cell-penetrating peptide is bactericidal against Neisseria gonorrhoeae</t>
  </si>
  <si>
    <t>Objectives: Cell-penetrating peptides (CPPs) have been evaluated for intracellular delivery of molecules and several CPPs have bactericidal activity. Our objectives were to determine the effect of a 12 amino acid CPPs on survival and on the invasive and inflammatory potential of Neisseria gonorrhoeae.
Methods: Survival of MDR and human challenge strains of N. gonorrhoeae grown in cell culture medium with 10% FBS was determined after treatment with the CPP and human antimicrobial peptide LL-37 for 4 h. Confocal microscopy was used to examine penetration of FITC-labelled CPP into bacterial cells. The ability of the CPP to prevent invasion of human ME-180 cervical epithelial cells and to reduce the induction of TNF-α in human THP-1 monocytic cells in response to gonococcal infection was assessed. Cytotoxicity of the CPP towards the THP-1 cells was determined.
Results: The CPP was bactericidal, with 95%-100% killing of all gonococcal strains at 100 μM. Confocal microscopy of gonococci incubated with FITC-labelled CPP revealed the penetration of the peptide. CPP treatment of N. gonorrhoeae inhibited gonococcal invasion of ME-180 cells and reduced the expression of TNF-α induced in THP-1 cells by gonococci. The CPP showed no cytotoxicity towards human THP-1 cells.
Conclusions: Based on these promising results, future studies will focus on testing of CPP in the presence of other types of host cells and exploration of structural modifications of the CPP that could decrease its susceptibility to proteolysis and increase its potency.</t>
  </si>
  <si>
    <t>2019 Nov 1</t>
  </si>
  <si>
    <t>Molecular Features of Cephalosporins Important for Activity against Antimicrobial-Resistant Neisseria gonorrhoeae</t>
  </si>
  <si>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</si>
  <si>
    <t>2021 Feb 12</t>
  </si>
  <si>
    <t>Repurposing Fenamic Acid Drugs To Combat Multidrug-Resistant Neisseria gonorrhoeae</t>
  </si>
  <si>
    <t>The rise of extensively drug-resistant and multidrug-resistant strains of Neisseria gonorrhoeae has occurred in parallel with the increasing demand for new drugs. However, the current methods of drug discovery are burdened with rigorous assessments and require more time than can be spared until gonococcal infections become difficult to control. To address this urgency, we utilized a drug-repurposing strategy and identified three clinically approved anthranilic acid drugs (tolfenamic acid, flufenamic acid, and meclofenamic acid) with potent antigonococcal activity, inhibiting 50% of the strains (MIC50) from 4 to 16 μg/ml. Furthermore, tolfenamic acid showed indifferent activity with antibiotics of choice for gonococcal infections, azithromycin and ceftriaxone, in checkerboard assays with a fractional inhibitory concentration index ranging from 0.75 to 1.5. Fenamic acids reduced a high inoculum of N. gonorrhoeae below the limit of detection within 12 h and exhibited a low frequency of resistance. Interestingly, the fenamic acids did not inhibit the growth of commensal Lactobacillus spp. that comprise the healthy female genital microbiota. Fenamic acids were also superior to ceftriaxone in reducing the burden of intracellular N. gonorrhoeae within infected endocervical cells by 99%. Furthermore, all three fenamic acids significantly reduced the expression of proinflammatory cytokines by infected endocervical cells. Finally, fenamic acids and other structurally related anthranilic acid derivatives were evaluated to ascertain a more in-depth structure-activity relationship (SAR) that revealed N-phenylanthranilic acid as a novel antigonorrheal scaffold. This SAR study will pave the road to repositioning more potent fenamic acids analogues against N. gonorrhoeae.</t>
  </si>
  <si>
    <t>2020 Jun 23</t>
  </si>
  <si>
    <t>In vitro activity of the novel triazaacenaphthylene gepotidacin (GSK2140944) against MDR Neisseria gonorrhoeae</t>
  </si>
  <si>
    <t>Objectives: Increased antimicrobial resistance surveillance and new effective antimicrobials are crucial to maintain treatable gonorrhoea. We examined the in vitro activity of gepotidacin, a novel triazaacenaphthylene, and the effect of efflux pump inactivation on clinical Neisseria gonorrhoeae isolates and international reference strains (n = 252) and compared gepotidacin with antimicrobials currently or previously recommended for gonorrhoea treatment.
Methods: MICs (mg/L) were determined by agar dilution (gepotidacin) or by Etest (seven other antimicrobials). The gyrA and parC genes were sequenced and the impact of inactivation of the MtrCDE, MacAB and NorM efflux pumps on gepotidacin MICs was examined.
Results: Gepotidacin showed potent in vitro activity against all gonococcal isolates (n = 252; MIC ≤4 mg/L). The modal MIC, MIC50, MIC90 and MIC range of gepotidacin were 0.5, 0.5, 1 and 0.032-4 mg/L, respectively. Inactivation of the MtrCDE efflux pump, but not MacAB or NorM, decreased the gepotidacin MICs for most strains. No significant cross-resistance between gepotidacin and any other antimicrobials, including the fluoroquinolone ciprofloxacin, was identified. However, the ParC D86N mutation (possibly together with additional antimicrobial resistance mutation), which is associated with fluoroquinolone resistance, was associated with increased gepotidacin MICs.
Conclusions: Gepotidacin demonstrated high in vitro activity against gonococcal strains, indicating that gepotidacin could potentially be an effective option for gonorrhoea treatment, particularly in a dual antimicrobial therapy regimen and for patients with resistance or allergy to extended-spectrum cephalosporins. Nevertheless, elucidating in vitro and in vivo resistance emergence and mechanisms in detail, together with further gonorrhoea clinical studies, ideally also including chlamydia and Mycoplasma genitalium are essential.</t>
  </si>
  <si>
    <t>Tackling Antimicrobial Resistance in the Shadow of COVID-19</t>
  </si>
  <si>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t>
  </si>
  <si>
    <t>2021 Aug 31</t>
  </si>
  <si>
    <t>New Hope for a Gonorrhea Vaccine</t>
  </si>
  <si>
    <t>2017 Sep 12</t>
  </si>
  <si>
    <t>A vaccine for meningococcal B disease and gonorrhoea</t>
  </si>
  <si>
    <t>2020 Apr</t>
  </si>
  <si>
    <t>Intractable problems require novel solutions: it's time to get serious about developing a gonorrhoea vaccine</t>
  </si>
  <si>
    <t>The Neisseria gonorrhoeae Methionine Sulfoxide Reductase (MsrA/B) Is a Surface Exposed, Immunogenic, Vaccine Candidate</t>
  </si>
  <si>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</si>
  <si>
    <t>2019 Feb 6</t>
  </si>
  <si>
    <t>Quantitative Proteomics of the 2016 WHO Neisseria gonorrhoeae Reference Strains Surveys Vaccine Candidates and Antimicrobial Resistance Determinants</t>
  </si>
  <si>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</si>
  <si>
    <t>2019 Jan</t>
  </si>
  <si>
    <t>In-silico Hierarchical Approach for the Identification of Potential Universal Vaccine Candidates (PUVCs) from Neisseria gonorrhoeae</t>
  </si>
  <si>
    <t xml:space="preserve">Objectives: Resistance to the currently recommended extended-spectrum cephalosporins, which is used to treat Gonorrhea, is increasing continuously and leading to a threat of untreatable infection. It is, therefore, becoming extremely essential to search for new therapeutic strategies to control Gonorrhea. Vaccination may be considered as an effective control measure to control this disease, which is caused by Neisseria gonorrhoeae.
Methods: In-silico hierarchical approach was used to help identify candidate proteins of N. gonorrhoeae that might contribute significantly in vaccine research. In contrast to the conventional vaccine research which requires at least 10-12 years, the present approach would reduce the time period drastically and help to identify Potential Universal Vaccine Candidates (PUVCs). These proteins were further analyzed for the presence of T-cell and linear B-cell epitopes, by using HLAPred and ABCpred servers respectively, in order to facilitate the identification of Multi Epitope Peptide Vaccine Constructs.
Results: We have identified 23 non-host candidate proteins, using the proteomic information of four sequenced strains of N. gonorrhoeae namely FA 1090, TCDC_NG08107, NCCP11945 and MS11 and labeled them as PUVCs. Since all these identified 23 PUVCs contained both T cell and B cell epitopes, these have been further reiterated as PUVCs which could be used as promising leads for vaccine development.
Conclusions: This hierarchical approach is the first comprehensive study to identify potential vaccine candidates which once utilized for vaccine development would surely serve as promising tools for effective control of Gonorrhea.
</t>
  </si>
  <si>
    <t>2016 Dec 7</t>
  </si>
  <si>
    <t>Gonococcal Vaccine Development: Lessons from Group B Meningococcal Vaccines</t>
  </si>
  <si>
    <t>2017 Aug</t>
  </si>
  <si>
    <t>Progress Toward a Gonococcal Vaccine: The Way Forward</t>
  </si>
  <si>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</si>
  <si>
    <t>2019 Oct 15</t>
  </si>
  <si>
    <t>Design and immune characterization of a novel Neisseria gonorrhoeae DNA vaccine using bacterial ghosts as vector and adjuvant</t>
  </si>
  <si>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</si>
  <si>
    <t>2018 Jul 16</t>
  </si>
  <si>
    <t>The Serogroup B Meningococcal Vaccine Bexsero Elicits Antibodies to Neisseria gonorrhoeae</t>
  </si>
  <si>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</si>
  <si>
    <t>2019 Sep 13</t>
  </si>
  <si>
    <t>Treatment efficacy for pharyngeal Neisseria gonorrhoeae: a systematic review and meta-analysis of randomized controlled trials</t>
  </si>
  <si>
    <t>2020 Nov 1</t>
  </si>
  <si>
    <t>Adherence to Centers for Disease Control and Prevention Gonococcal Treatment Guidelines Among Chicago Health Care Providers, 2011-2012</t>
  </si>
  <si>
    <t>A Pilot Evaluation of Expedited Partner Treatment and Partner Human Immunodeficiency Virus Self-Testing Among Adolescent Girls and Young Women Diagnosed With Chlamydia trachomatis and Neisseria gonorrhoeae in Kisumu, Kenya</t>
  </si>
  <si>
    <t>2021 Oct 1</t>
  </si>
  <si>
    <t>Rates of Appropriate Treatment and Follow-Up Testing After a Gonorrhea and/or Chlamydia Infection in an Urban Network of Federally Qualified Health Center Systems</t>
  </si>
  <si>
    <t>2022 May 1</t>
  </si>
  <si>
    <t>Patterns of Screening, Infection, and Treatment of Chlamydia trachomatis and Neisseria gonorrhea in Pregnancy</t>
  </si>
  <si>
    <t>Developing a model to predict individualised treatment for gonorrhoea: a modelling study</t>
  </si>
  <si>
    <t>2021 Jun 25</t>
  </si>
  <si>
    <t>Sensitivity and Specificity of Empiric Treatment for Sexually Transmitted Infections in a Pediatric Emergency Department</t>
  </si>
  <si>
    <t>Diagnosis and treatment of gonorrhoea: 2019 Belgian National guideline for primary care</t>
  </si>
  <si>
    <t>Gentamicin 240 mg plus azithromycin 2 g vs. ceftriaxone 500 mg plus azithromycin 2 g for treatment of rectal and pharyngeal gonorrhoea: a randomized controlled trial</t>
  </si>
  <si>
    <t>Mycoplasma genitalium incidence, treatment failure, and resistance: a retrospective survey of men of infertile couples from a hospital in China</t>
  </si>
  <si>
    <t>2020 Jan</t>
  </si>
  <si>
    <t>Acceptability and Feasibility of Rapid Chlamydial, Gonococcal, and Trichomonal Screening and Treatment in Pregnant Women in 6 Low- to Middle-Income Countries</t>
  </si>
  <si>
    <t>2018 Oct</t>
  </si>
  <si>
    <t>Multidrug-resistant Neisseria gonorrhoeae failing treatment with ceftriaxone and doxycycline in France, November 2017</t>
  </si>
  <si>
    <t>2018 May</t>
  </si>
  <si>
    <t>Treatment efficacy for rectal Neisseria gonorrhoeae: a systematic review and meta-analysis of randomized controlled trials</t>
  </si>
  <si>
    <t>2021 Nov 12</t>
  </si>
  <si>
    <t>A Narrative Review of Clinical Treatment Outcomes of Neisseria gonorrhoeae Infection With Ciprofloxacin by Minimum Inhibitory Concentration and Anatomic Site</t>
  </si>
  <si>
    <t>2021 Jun 1</t>
  </si>
  <si>
    <t>Should azithromycin 1 g be abandoned as a treatment for bacterial STIs? The case for and against</t>
  </si>
  <si>
    <t>2017 Mar</t>
  </si>
  <si>
    <t>Persistence after treatment of pharyngeal gonococcal infections in patients of the STI clinic, Amsterdam, the Netherlands, 2012-2015: a retrospective cohort study</t>
  </si>
  <si>
    <t>Solithromycin versus ceftriaxone plus azithromycin for the treatment of uncomplicated genital gonorrhoea (SOLITAIRE-U): a randomised phase 3 non-inferiority trial</t>
  </si>
  <si>
    <t>2019 Aug</t>
  </si>
  <si>
    <t>Clinical Factors Associated With Accurate Presumptive Treatment of Neisseria gonorrhoeae Infections in Men Who Have Sex with Men and Transgender Women</t>
  </si>
  <si>
    <t>2021 Nov 2</t>
  </si>
  <si>
    <t>Treatment of gonococcal infection: when one drug is not enough</t>
  </si>
  <si>
    <t>The effectiveness of gentamicin in the treatment of Neisseria gonorrhoeae: a systematic review</t>
  </si>
  <si>
    <t>2014 Sep 19</t>
  </si>
  <si>
    <t>Zoliflodacin: An Oral Spiropyrimidinetrione Antibiotic for the Treatment of Neisseria gonorrheae, Including Multi-Drug-Resistant Isolates</t>
  </si>
  <si>
    <t>2020 Jun 12</t>
  </si>
  <si>
    <t>Identification of bile acid and fatty acid species as candidate rapidly bactericidal agents for topical treatment of gonorrhoea</t>
  </si>
  <si>
    <t>2021 Sep 15</t>
  </si>
  <si>
    <t>Could Intensive Screening for Gonorrhea/Chlamydia in Preexposure Prophylaxis Cohorts Select for Resistance? Historical Lessons From a Mass Treatment Campaign in Greenland</t>
  </si>
  <si>
    <t>Rapid testing and treatment for sexually transmitted infections improve patient care and yield public health benefits</t>
  </si>
  <si>
    <t>Antimicrobial resistance point-of-care testing for gonorrhoea treatment regimens: cost-effectiveness and impact on ceftriaxone use of five hypothetical strategies compared with standard care in England sexual health clinics</t>
  </si>
  <si>
    <t>2020 Oct</t>
  </si>
  <si>
    <t>Agent-based modelling study of antimicrobial-resistant Neisseria gonorrhoeae transmission in men who have sex with men: towards individualised diagnosis and treatment</t>
  </si>
  <si>
    <t>Persistent Chlamydia trachomatis, Neisseria gonorrhoeae or Trichomonas vaginalis positivity after treatment among human immunodeficiency virus-infected pregnant women, South Africa</t>
  </si>
  <si>
    <t>2020 Mar</t>
  </si>
  <si>
    <t>Potential for Phages in the Treatment of Bacterial Sexually Transmitted Infections</t>
  </si>
  <si>
    <t>2021 Aug 24</t>
  </si>
  <si>
    <t>The Use of Gentamicin for Treatment of Urogenital and Extragenital Gonorrhea: A Systematic Review of Efficacy Data</t>
  </si>
  <si>
    <t>Evaluation of WHO screening algorithm for the presumptive treatment of asymptomatic rectal gonorrhoea and chlamydia infections in at-risk MSM in Kenya</t>
  </si>
  <si>
    <t>Management of Urethritis: Is It Still the Time for Empirical Antibiotic Treatments?</t>
  </si>
  <si>
    <t>Integrating Sexually Transmitted Infection Testing and Treatment With Routine HIV Care in Gaborone, Botswana</t>
  </si>
  <si>
    <t>2021 Nov 1</t>
  </si>
  <si>
    <t>Diffuse Gonococcal Infection (DGI) in a Patient with Treatment-Refractory Acetylcholine Receptor Antibody-Positive (AChR+) Generalized Myasthenia Gravis (gMG) Treated with Eculizumab</t>
  </si>
  <si>
    <t>2021 Jun 14</t>
  </si>
  <si>
    <t>Evaluation of syndromic management guidelines for treatment of sexually transmitted infections in South African women</t>
  </si>
  <si>
    <t>Gentamicin versus ceftriaxone for the treatment of gonorrhoea (G-TOG trial): study protocol for a randomised trial</t>
  </si>
  <si>
    <t>2016 Nov 24</t>
  </si>
  <si>
    <t>Impact of point-of-care testing and treatment of sexually transmitted infections and bacterial vaginosis on genital tract inflammatory cytokines in a cohort of young South African women</t>
  </si>
  <si>
    <t>Performance of syndromic management for the detection and treatment of genital Chlamydia trachomatis, Neisseria gonorrhoeae and Trichomonas vaginalis among women attending antenatal, well woman and sexual health clinics in Papua New Guinea: a cross-sectional study</t>
  </si>
  <si>
    <t>2017 Dec 29</t>
  </si>
  <si>
    <t>Treatment of Cases of Neisseria gonorrhoeae and Chlamydia trachomatis in Emergency Department Patients</t>
  </si>
  <si>
    <t>2015 Jul</t>
  </si>
  <si>
    <t>Presumptive and Follow-up Treatment for Gonorrhea and Chlamydia Among Patients Attending Public Health Department Clinics in Virginia, 2016</t>
  </si>
  <si>
    <t>Evaluation of the anatomical site distribution of chlamydia and gonorrhoea in men who have sex with men and in high-risk women by routine testing: cross-sectional study revealing missed opportunities for treatment strategies</t>
  </si>
  <si>
    <t>2014 Feb</t>
  </si>
  <si>
    <t>WHO Guidelines for the Treatment of Treponema pallidum (Syphilis)</t>
  </si>
  <si>
    <t>Empirical treatment of asymptomatic contacts of gonorrhoea: patient views</t>
  </si>
  <si>
    <t>Widespread Use of High-dose Ceftriaxone Therapy for Uncomplicated Gonorrhea Without Reported Ceftriaxone Treatment Failure: Results From 5 Years of Multicenter Surveillance Data in China</t>
  </si>
  <si>
    <t>2020 Jan 1</t>
  </si>
  <si>
    <t>Exploring the implications for coincidental treatment of Mycoplasma genitalium infection in Neisseria gonorrhoeae-positive patients</t>
  </si>
  <si>
    <t>2021 Mar 16</t>
  </si>
  <si>
    <t>Prevalence and treatment outcomes of routine Chlamydia trachomatis, Neisseria gonorrhoeae and Trichomonas vaginalis testing during antenatal care, Gaborone, Botswana</t>
  </si>
  <si>
    <t>Effectiveness of gentamicin for gonorrhoea treatment: systematic review and meta-analysis</t>
  </si>
  <si>
    <t>Diagnostic accuracy of the syndromic management of four STIs among individuals seeking treatment at a health centre in Nairobi, Kenya: a cross-sectional study</t>
  </si>
  <si>
    <t>2021 Nov 4</t>
  </si>
  <si>
    <t>Potential of Mesenchymal Stem Cell-Derived Exosomes as a Novel Treatment for Female Infertility Caused by Bacterial Infections</t>
  </si>
  <si>
    <t>2022 Jan 27</t>
  </si>
  <si>
    <t>Important treatment change for Neisseria gonorrhoea</t>
  </si>
  <si>
    <t>Periodic Presumptive Treatment for Vaginal Infections May Reduce the Incidence of Sexually Transmitted Bacterial Infections</t>
  </si>
  <si>
    <t>2016 Jun 15</t>
  </si>
  <si>
    <t>Feasibility of providing sexually transmitted infection testing and treatment in off-campus, nonclinic settings for adolescents enrolled in a school-based research project</t>
  </si>
  <si>
    <t>Pharmacodynamic Evaluation of Zoliflodacin Treatment of Neisseria gonorrhoeae Strains With Amino Acid Substitutions in the Zoliflodacin Target GyrB Using a Dynamic Hollow Fiber Infection Model</t>
  </si>
  <si>
    <t>2022 Apr 14</t>
  </si>
  <si>
    <t>Antimicrobial susceptibility of Neisseria gonorrhoeae isolates and syndromic treatment of men with urethral discharge in Kingston, Jamaica, 2018-19</t>
  </si>
  <si>
    <t>2021 Dec 24</t>
  </si>
  <si>
    <t>Chlamydia, Gonorrhea, and Incident HIV Infection During Pregnancy Predict Preterm Birth Despite Treatment</t>
  </si>
  <si>
    <t>2021 Dec 15</t>
  </si>
  <si>
    <t>Partner notification and treatment outcomes among South African adolescents and young adults diagnosed with a sexually transmitted infection via laboratory-based screening</t>
  </si>
  <si>
    <t>Periodical antibiotic treatment for the control of gonococcal and chlamydial infections among sex workers in Benin and Ghana: a cluster-randomized placebo-controlled trial</t>
  </si>
  <si>
    <t>2012 Apr</t>
  </si>
  <si>
    <t>Beyond syndromic management: Opportunities for diagnosis-based treatment of sexually transmitted infections in low- and middle-income countries</t>
  </si>
  <si>
    <t>2018 Apr 24</t>
  </si>
  <si>
    <t>Comparative analysis of syndromic and PCR-based diagnostic assay reveals misdiagnosis/ overtreatment for trichomoniasis based on subjective judgment in symptomatic patients</t>
  </si>
  <si>
    <t>2016 May 5</t>
  </si>
  <si>
    <t>2013 Mar</t>
  </si>
  <si>
    <t>Sexually Transmitted Neisseria gonorrhoeae Infections-Update on Drug Treatment and Vaccine Development</t>
  </si>
  <si>
    <t>2021 Feb 5</t>
  </si>
  <si>
    <t>Ophthalmia neonatorum treatment and prophylaxis: IPOSC global study</t>
  </si>
  <si>
    <t>2023</t>
  </si>
  <si>
    <t>Undertreatment of chlamydia and gonorrhea among pregnant women in the emergency department</t>
  </si>
  <si>
    <t>Gonorrhea treatment practices in the STD Surveillance Network, 2010-2012</t>
  </si>
  <si>
    <t>Granulomas, Proctitis, and HIV: Complex Diagnosis with a Simple Treatment</t>
  </si>
  <si>
    <t>2020 May</t>
  </si>
  <si>
    <t>Potential deleterious effects of promoting the use of ceftriaxone in the treatment of Neisseria gonorrhoeae</t>
  </si>
  <si>
    <t>2014 Oct</t>
  </si>
  <si>
    <t>Retreatment rates for uncomplicated gonorrhea infection: comparing ceftriaxone and azithromycin versus ceftriaxone and doxycycline</t>
  </si>
  <si>
    <t>Efficacy of ertapenem, gentamicin, fosfomycin, and ceftriaxone for the treatment of anogenital gonorrhoea (NABOGO): a randomised, non-inferiority trial</t>
  </si>
  <si>
    <t>2022 May</t>
  </si>
  <si>
    <t>Time to clearance of Chlamydia trachomatis RNA and DNA after treatment in patients coinfected with Neisseria gonorrhoeae - a prospective cohort study</t>
  </si>
  <si>
    <t>2016 Oct 11</t>
  </si>
  <si>
    <t>Etiologies of genital inflammation and ulceration in symptomatic Rwandan men and women responding to radio promotions of free screening and treatment services</t>
  </si>
  <si>
    <t>2021 Apr 20</t>
  </si>
  <si>
    <t>Partner notification and treatment for sexually transmitted infections among pregnant women in Cape Town, South Africa</t>
  </si>
  <si>
    <t>Empiric treatment of sexually transmitted infections in a pediatric Emergency Department: are we making the right decisions?</t>
  </si>
  <si>
    <t>Safety and Effectiveness of Same-Day Chlamydia trachomatis and Neisseria gonorrhoeae Screening and Treatment Among Gay, Bisexual, Transgender, and Homeless Youth in Los Angeles, California, and New Orleans, Louisiana</t>
  </si>
  <si>
    <t>Diagnosis and treatment of sexually transmitted infections in male partners of pregnant women in Brazil</t>
  </si>
  <si>
    <t>2021 Nov</t>
  </si>
  <si>
    <t>Future Prospects for Neisseria gonorrhoeae Treatment</t>
  </si>
  <si>
    <t>2018 Jun 15</t>
  </si>
  <si>
    <t>Pharmacodynamic evaluation of lefamulin in the treatment of gonorrhea using a hollow fiber infection model simulating Neisseria gonorrhoeae infections</t>
  </si>
  <si>
    <t>2022 Nov 14</t>
  </si>
  <si>
    <t>Synthesis and biological evaluation of novel 5-aryl-4-(5-nitrofuran-2-yl)-pyrimidines as potential anti-bacterial agents</t>
  </si>
  <si>
    <t>2017 Jul 1</t>
  </si>
  <si>
    <t>Cooperative Recognition of Internationally Disseminated Ceftriaxone-Resistant Neisseria gonorrhoeae Strain</t>
  </si>
  <si>
    <t>In vitro activity of ertapenem versus ceftriaxone against Neisseria gonorrhoeae isolates with highly diverse ceftriaxone MIC values and effects of ceftriaxone resistance determinants: ertapenem for treatment of gonorrhea?</t>
  </si>
  <si>
    <t xml:space="preserve">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
</t>
  </si>
  <si>
    <t>2012 Jul</t>
  </si>
  <si>
    <t>One confirmed and one suspected case of pharyngeal gonorrhoea treatment failure following 500mg ceftriaxone in Sydney, Australia</t>
  </si>
  <si>
    <t>Adherence to CDC Recommendations for the Treatment of Uncomplicated Gonorrhea - STD Surveillance Network, United States, 2016</t>
  </si>
  <si>
    <t>2018 Apr 27</t>
  </si>
  <si>
    <t>An open-label, parallel-group, randomised controlled trial of antiseptic mouthwash versus antibiotics for oropharyngeal gonorrhoea treatment (OMEGA2)</t>
  </si>
  <si>
    <t>2020 Nov 9</t>
  </si>
  <si>
    <t>Efficacy of Antigonococcal CMP-Nonulosonate Therapeutics Require Cathelicidins</t>
  </si>
  <si>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t>
  </si>
  <si>
    <t>Azithromycin Susceptibility Among Neisseria gonorrhoeae Isolates and Seasonal Macrolide Use</t>
  </si>
  <si>
    <t>2019 Jan 29</t>
  </si>
  <si>
    <t>Gonorrhoea treatment failure caused by a Neisseria gonorrhoeae strain with combined ceftriaxone and high-level azithromycin resistance, England, February 2018</t>
  </si>
  <si>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</si>
  <si>
    <t>2018 Jul</t>
  </si>
  <si>
    <t>Antimicrobial Susceptibility of Neisseria gonorrhoeae Isolates in Yaoundé, Cameroon From 2009 to 2014</t>
  </si>
  <si>
    <t>2018 Dec</t>
  </si>
  <si>
    <t>Neisseria gonorrhoeae isolates with high-level resistance to azithromycin in Australia</t>
  </si>
  <si>
    <t>Sodium Tetraphenylborate Displays Selective Bactericidal Activity against Neisseria meningitidis and N. gonorrhoeae and Is Effective at Reducing Bacterial Infection Load</t>
  </si>
  <si>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</si>
  <si>
    <t>2021 Jan 20</t>
  </si>
  <si>
    <t>In vitro efficacy of 21 dual antimicrobial combinations comprising novel and currently recommended combinations for treatment of drug resistant gonorrhoea in future era</t>
  </si>
  <si>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</si>
  <si>
    <t>2018 Mar 6</t>
  </si>
  <si>
    <t>In vitro activity of the ketolide cethromycin in multidrug-resistant clinical Neisseria gonorrhoeae isolates and international reference strains</t>
  </si>
  <si>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</si>
  <si>
    <t>Resistance-Guided Treatment of Gonorrhea: A Prospective Clinical Study</t>
  </si>
  <si>
    <t>Background: Novel treatment strategies to slow the continued emergence and spread of antimicrobial resistance in Neisseria gonorrhoeae are urgently needed. A molecular assay that predicts in vitro ciprofloxacin susceptibility is now available but has not been systematically studied in human infections.
Methods: Using a genotypic polymerase chain reaction assay to determine the status of the N. gonorrhoeae gyrase subunit A serine 91 codon, we conducted a multisite prospective clinical study of the efficacy of a single oral dose of ciprofloxacin 500 mg in patients with culture-positive gonorrhea. Follow-up specimens for culture were collected to determine microbiological cure 5-10 days post-treatment.
Results: Of the 106 subjects possessing culture-positive infections with wild-type gyrA serine N. gonorrhoeae genotype, the efficacy of single-dose oral ciprofloxacin treatment in the per-protocol population was 100% (95% 1-sided confidence interval, 97.5-100%).
Conclusions: Resistance-guided treatment of N. gonorrhoeae infections with single-dose oral ciprofloxacin was highly efficacious. The widespread introduction and scale-up of gyrA serine 91 genotyping in N. gonorrhoeae infections could have substantial medical and public health benefits in settings where the majority of gonococcal infections are ciprofloxacin susceptible.</t>
  </si>
  <si>
    <t>2021 Jul 15</t>
  </si>
  <si>
    <t>Structure of the Recombinant Neisseria gonorrhoeae Adhesin Complex Protein (rNg-ACP) and Generation of Murine Antibodies with Bactericidal Activity against Gonococci</t>
  </si>
  <si>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</si>
  <si>
    <t>2018 Oct 10</t>
  </si>
  <si>
    <t>High in vitro activity of DIS-73285, a novel antimicrobial with a new mechanism of action, against MDR and XDR Neisseria gonorrhoeae</t>
  </si>
  <si>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</si>
  <si>
    <t>An optimized Factor H-Fc fusion protein against multidrug-resistant Neisseria gonorrhoeae</t>
  </si>
  <si>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</si>
  <si>
    <t>2022 Aug 30</t>
  </si>
  <si>
    <t>The efficacy and safety of gentamicin plus azithromycin and gemifloxacin plus azithromycin as treatment of uncomplicated gonorrhea</t>
  </si>
  <si>
    <t>2014 Oct 15</t>
  </si>
  <si>
    <t>Point-of-care testing and treatment of sexually transmitted infections to improve birth outcomes in high-burden, low-income settings: Study protocol for a cluster randomized crossover trial (the WANTAIM Trial, Papua New Guinea)</t>
  </si>
  <si>
    <t>2019 Mar 22</t>
  </si>
  <si>
    <t>Factors associated with the over-treatment and under-treatment of gonorrhea and chlamydia in adolescents presenting to a public hospital emergency department</t>
  </si>
  <si>
    <t>Nonadherence to National Guidelines for Antibiotic Treatment of Uncomplicated Gonorrhea in China: Results From a Nationwide Survey</t>
  </si>
  <si>
    <t>Patient-Delivered Partner Treatment for Chlamydia, Gonorrhea, and Trichomonas Infection Among Pregnant and Postpartum Women in Kenya</t>
  </si>
  <si>
    <t>Extragenital Chlamydia and Gonorrhea in Young Black Men Who Have Sex With Men: Missed Treatment Opportunities for Human Immunodeficiency Virus-Infected Men Who Have Sex With Men?</t>
  </si>
  <si>
    <t>Impact of the gonococcal FC428 penA allele 60.001 on ceftriaxone resistance and biological fitness</t>
  </si>
  <si>
    <t>Whole-genome sequencing reveals transmission of gonococcal antibiotic resistance among men who have sex with men: an observational study</t>
  </si>
  <si>
    <t>The Next-Generation of Neisseria gonorrhoeae Antimicrobial Resistance Testing</t>
  </si>
  <si>
    <t>2021 Mar 31</t>
  </si>
  <si>
    <t>WHO Guidelines for the Treatment of Neisseria gonorrhoeae</t>
  </si>
  <si>
    <t>WHO Guidelines for the Treatment of Genital Herpes Simplex Virus</t>
  </si>
  <si>
    <t>WHO Guidelines for the Treatment of Chlamydia trachomatis</t>
  </si>
  <si>
    <t>Comparative analysis of syndromic case management and polymerase chain reaction based diagnostic assays for treatment of Neisseria gonorrhoeae, Chlamydia trachomatis and genital mycoplasmas in patients of genitourinary discharge</t>
  </si>
  <si>
    <t>2017 Apr-Jun</t>
  </si>
  <si>
    <t>High-Frequency Ultrasound Imaging-Guided Wedge Resection: An Effective Treatment for Paraurethral Duct Dilatation Following Gonococcal Paraurethral Duct Infection in Men</t>
  </si>
  <si>
    <t>Molecular Epidemiology, Antimicrobial Surveillance, and PK/PD Analysis to Guide the Treatment of Neisseria gonorrhoeae Infections</t>
  </si>
  <si>
    <t>2021 Oct 15</t>
  </si>
  <si>
    <t>[Treatment of uncomplicated pelvic inflammatory disease: CNGOF and SPILF Pelvic Inflammatory Diseases Guidelines]</t>
  </si>
  <si>
    <t>Sexually transmitted disease (STD) update: a review of the CDC 2010 STD treatment guidelines and epidemiologic trends of common STDs in Hawai'i</t>
  </si>
  <si>
    <t>The potential role of nemonoxacin for treatment of common infections</t>
  </si>
  <si>
    <t>2015 Feb</t>
  </si>
  <si>
    <t>Treatment of chlamydia and gonorrhea infections during the COVID-19 pandemic using provisional Centers for Disease Control guidance</t>
  </si>
  <si>
    <t>2021 Aug 18</t>
  </si>
  <si>
    <t>Overtreatment of gonorrhea and chlamydial infections in 2 inner-city emergency departments</t>
  </si>
  <si>
    <t>Optimising treatments for sexually transmitted infections: surveillance, pharmacokinetics and pharmacodynamics, therapeutic strategies, and molecular resistance prediction</t>
  </si>
  <si>
    <t>2020 Aug</t>
  </si>
  <si>
    <t>The Expedited Partner Therapy Continuum: A Conceptual Framework to Guide Programmatic Efforts to Increase Partner Treatment</t>
  </si>
  <si>
    <t>2016 Feb</t>
  </si>
  <si>
    <t>Sexually transmitted diseases treatment guidelines, 2015</t>
  </si>
  <si>
    <t>2015 Jun 5</t>
  </si>
  <si>
    <t>Gentamicin compared with ceftriaxone for the treatment of gonorrhoea (G-ToG): a randomised non-inferiority trial</t>
  </si>
  <si>
    <t>2019 Jun 22</t>
  </si>
  <si>
    <t>Treatment of Community-Acquired Pneumonia: A Focus on Lefamulin</t>
  </si>
  <si>
    <t>2021 Mar</t>
  </si>
  <si>
    <t>Emergence and evolution of antimicrobial resistance genes and mutations in Neisseria gonorrhoeae</t>
  </si>
  <si>
    <t>2021 Mar 30</t>
  </si>
  <si>
    <t>RecA-binding pilE G4 sequence essential for pilin antigenic variation forms monomeric and 5' end-stacked dimeric parallel G-quadruplexes</t>
  </si>
  <si>
    <t>2012 Dec 5</t>
  </si>
  <si>
    <t>A highly conserved interaction involving the middle residue of the SXN active-site motif is crucial for function of class B penicillin-binding proteins: mutational and computational analysis of PBP 2 from N. gonorrhoeae</t>
  </si>
  <si>
    <t>2012 Apr 3</t>
  </si>
  <si>
    <t>The MisR Response Regulator Is Necessary for Intrinsic Cationic Antimicrobial Peptide and Aminoglycoside Resistance in Neisseria gonorrhoeae</t>
  </si>
  <si>
    <t>RNA polymerase mutations cause cephalosporin resistance in clinical Neisseria gonorrhoeae isolates</t>
  </si>
  <si>
    <t>2020 Feb 3</t>
  </si>
  <si>
    <t>Genetic characterisation of Neisseria gonorrhoeae resistant to both ceftriaxone and azithromycin</t>
  </si>
  <si>
    <t>Genomic evolution of Neisseria gonorrhoeae since the preantibiotic era (1928-2013): antimicrobial use/misuse selects for resistance and drives evolution</t>
  </si>
  <si>
    <t>evolucion de resistencia</t>
  </si>
  <si>
    <t>Phylogenomic analysis reveals persistence of gonococcal strains with reduced-susceptibility to extended-spectrum cephalosporins and mosaic penA-34</t>
  </si>
  <si>
    <t>2021 Jun 21</t>
  </si>
  <si>
    <t>Transport Dynamics of MtrD: An RND Multidrug Efflux Pump from Neisseria gonorrhoeae</t>
  </si>
  <si>
    <t>2021 Oct 19</t>
  </si>
  <si>
    <t>Increased power from conditional bacterial genome-wide association identifies macrolide resistance mutations in Neisseria gonorrhoeae</t>
  </si>
  <si>
    <t>2020 Oct 23</t>
  </si>
  <si>
    <t>A real-time PCR assay for direct characterization of the Neisseria gonorrhoeae GyrA 91 locus associated with ciprofloxacin susceptibility</t>
  </si>
  <si>
    <t>Identification of Novel Neisseria gonorrhoeae Lineages Harboring Resistance Plasmids in Coastal Kenya</t>
  </si>
  <si>
    <t>2018 Jul 24</t>
  </si>
  <si>
    <t>Antimicrobial resistance and molecular characteristics of Neisseria gonorrhoeae isolates from men who have sex with men</t>
  </si>
  <si>
    <t>Antimicrobial resistance patterns in Neisseria gonorrhoeae among male clients of a sexually transmitted infections clinic in Kisumu, Kenya</t>
  </si>
  <si>
    <t>Phenotypic and Genotypic Characterization of Neisseria gonorrhoeae Isolates from New Zealand with Reduced Susceptibility to Ceftriaxone</t>
  </si>
  <si>
    <t>Molecular Characterization of Penicillinase-Producing Neisseria gonorrhoeae Isolated in Two Time Periods, 2003-2004 and 2014-2015, in Italy</t>
  </si>
  <si>
    <t>2018 Jun</t>
  </si>
  <si>
    <t>Identification and expression analysis of ceftriaxone resistance-related genes in Neisseria gonorrhoeae integrating RNA-Seq data and qRT-PCR validation</t>
  </si>
  <si>
    <t>Mutations in penicillin-binding protein 2 from cephalosporin-resistant Neisseria gonorrhoeae hinder ceftriaxone acylation by restricting protein dynamics</t>
  </si>
  <si>
    <t>2020 May 22</t>
  </si>
  <si>
    <t>Genetic relatedness of ceftriaxone-resistant and high-level azithromycin resistant Neisseria gonorrhoeae cases, United Kingdom and Australia, February to April 2018</t>
  </si>
  <si>
    <t>Structural, Biochemical, and In Vivo Characterization of MtrR-Mediated Resistance to Innate Antimicrobials by the Human Pathogen Neisseria gonorrhoeae</t>
  </si>
  <si>
    <t>2019 Sep 20</t>
  </si>
  <si>
    <t>In Vivo-Selected Compensatory Mutations Restore the Fitness Cost of Mosaic penA Alleles That Confer Ceftriaxone Resistance in Neisseria gonorrhoeae</t>
  </si>
  <si>
    <t>2018 Apr 3</t>
  </si>
  <si>
    <t>WGS analysis and molecular resistance mechanisms of azithromycin-resistant (MIC &gt;2 mg/L) Neisseria gonorrhoeae isolates in Europe from 2009 to 2014</t>
  </si>
  <si>
    <t>2016 Nov</t>
  </si>
  <si>
    <t>Genetic diversity of blaTEM alleles, antimicrobial susceptibility and molecular epidemiological characteristics of penicillinase-producing Neisseria gonorrhoeae from England and Wales</t>
  </si>
  <si>
    <t>Cryo-EM Structures of a Gonococcal Multidrug Efflux Pump Illuminate a Mechanism of Drug Recognition and Resistance</t>
  </si>
  <si>
    <t>2020 May 26</t>
  </si>
  <si>
    <t>Substitutions in SurA and BamA Lead to Reduced Susceptibility to Broad Range Antibiotics in Gonococci</t>
  </si>
  <si>
    <t>2021 Aug 25</t>
  </si>
  <si>
    <t>Impact of fluoroquinolone resistance mutations on gonococcal fitness and in vivo selection for compensatory mutations</t>
  </si>
  <si>
    <t>Transcriptome Analysis of Neisseria gonorrhoeae during Natural Infection Reveals Differential Expression of Antibiotic Resistance Determinants between Men and Women</t>
  </si>
  <si>
    <t>2018 Jun 27</t>
  </si>
  <si>
    <t>The role of penicillin-binding protein 2 (PBP2) in the cephalosporin susceptibility of Neisseria gonorrhoeae and the need for consensus in naming of PBP2</t>
  </si>
  <si>
    <t>Molecular pathways to high-level azithromycin resistance in Neisseria gonorrhoeae</t>
  </si>
  <si>
    <t>2021 Jun 18</t>
  </si>
  <si>
    <t>Recognition of the β-lactam carboxylate triggers acylation of Neisseria gonorrhoeae penicillin-binding protein 2</t>
  </si>
  <si>
    <t>More mutation accumulation in Neisseria gonorrhoeae (NG) with susceptibility than that in NG with decreased susceptibility to ceftriaxone</t>
  </si>
  <si>
    <t>2020 Jul 5</t>
  </si>
  <si>
    <t>Genomic surveillance of Neisseria gonorrhoeae to investigate the distribution and evolution of antimicrobial-resistance determinants and lineages</t>
  </si>
  <si>
    <t>2018 Aug</t>
  </si>
  <si>
    <t>Using a public database of Neisseria gonorrhoeae genomes to detect mutations associated with zoliflodacin resistance</t>
  </si>
  <si>
    <t>2021 Oct 11</t>
  </si>
  <si>
    <t>Genomic epidemiology of Neisseria gonorrhoeae elucidating the gonococcal antimicrobial resistance and lineages/sublineages across Brazil, 2015-16</t>
  </si>
  <si>
    <t>Association of TLR4 and TLR9 gene polymorphisms and haplotypes with cervicitis susceptibility</t>
  </si>
  <si>
    <t>Improved detection of genetic markers of antimicrobial resistance by hybridization probe-based melting curve analysis using primers to mask proximal mutations: examples include the influenza H275Y substitution</t>
  </si>
  <si>
    <t>2012 Jun</t>
  </si>
  <si>
    <t>Dueling regulatory properties of a transcriptional activator (MtrA) and repressor (MtrR) that control efflux pump gene expression in Neisseria gonorrhoeae</t>
  </si>
  <si>
    <t>2012 Dec 4</t>
  </si>
  <si>
    <t>Ribonucleotide reductase, a novel drug target for gonorrhea</t>
  </si>
  <si>
    <t>Drug Targeting a Gonococcal Virulence Factor Exploits Host Antimicrobial Peptides in Clearance of Infection</t>
  </si>
  <si>
    <t>Application of Isothermal Signal Amplification Technique in the Etiological Diagnosis of Gonorrhea and Drug Resistance Gene Detection</t>
  </si>
  <si>
    <t>2022 Jul 1</t>
  </si>
  <si>
    <t>High-level cefixime- and ceftriaxone-resistant Neisseria gonorrhoeae in France: novel penA mosaic allele in a successful international clone causes treatment failure</t>
  </si>
  <si>
    <t>Changes in the rates of Neisseria gonorrhoeae antimicrobial resistance are primarily driven by dynamic fluctuations in common gonococcal genotypes</t>
  </si>
  <si>
    <t>2017 Mar 1</t>
  </si>
  <si>
    <t>Six penA Codons Accurately and Reliably Predict Cefixime-Decreased Susceptibility in Neisseria gonorrhoeae</t>
  </si>
  <si>
    <t>2020 Feb 18</t>
  </si>
  <si>
    <t>Azithromycin Resistance through Interspecific Acquisition of an Epistasis-Dependent Efflux Pump Component and Transcriptional Regulator in Neisseria gonorrhoeae</t>
  </si>
  <si>
    <t>2018 Aug 7</t>
  </si>
  <si>
    <t>Multidrug Resistance in Neisseria gonorrhoeae: Identification of Functionally Important Residues in the MtrD Efflux Protein</t>
  </si>
  <si>
    <t>2019 Nov 19</t>
  </si>
  <si>
    <t>Neisseria gonorrhoeae 23S rRNA A2059G mutation is the only determinant necessary for high-level azithromycin resistance and improves in vivo biological fitness</t>
  </si>
  <si>
    <t>2019 Feb 1</t>
  </si>
  <si>
    <t>Genotypic and Phenotypic Characterization of Antimicrobial Resistance in Neisseria gonorrhoeae: a Cross-Sectional Study of Isolates Recovered from Routine Urine Cultures in a High-Incidence Setting</t>
  </si>
  <si>
    <t>2019 Jul 24</t>
  </si>
  <si>
    <t>Importance of multidrug efflux pumps in the antimicrobial resistance property of clinical multidrug-resistant isolates of Neisseria gonorrhoeae</t>
  </si>
  <si>
    <t>Efflux Pump Antibiotic Binding Site Mutations Are Associated with Azithromycin Nonsusceptibility in Clinical Neisseria gonorrhoeae Isolates</t>
  </si>
  <si>
    <t>2020 Aug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</si>
</sst>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Arial"/>
      <scheme val="minor"/>
    </font>
    <font>
      <sz val="9"/>
      <color rgb="FF000000"/>
      <name val="&quot;Google Sans Mono&quot;"/>
    </font>
    <font>
      <sz val="12"/>
      <color rgb="FF212121"/>
      <name val="BlinkMacSystemFont"/>
    </font>
  </fonts>
  <fills count="6">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D9E2F3"/>
        <bgColor rgb="FFD9E2F3"/>
      </patternFill>
    </fill>
  </fills>
  <borders count="1">
    <border>
      <left/>
      <right/>
      <top/>
      <bottom/>
      <diagonal/>
    </border>
  </borders>
  <cellStyleXfs count="1">
    <xf numFmtId="0" fontId="0" fillId="0" borderId="0"/>
  </cellStyleXfs>
  <cellXfs count="16">
    <xf numFmtId="0" fontId="0" fillId="0" borderId="0" xfId="0" applyFont="1" applyAlignment="1"/>
    <xf numFmtId="0" fontId="1" fillId="2" borderId="0" xfId="0" applyFont="1" applyFill="1"/>
    <xf numFmtId="0" fontId="1" fillId="2" borderId="0" xfId="0" applyFont="1" applyFill="1" applyAlignment="1"/>
    <xf numFmtId="0" fontId="1" fillId="2" borderId="0" xfId="0" applyFont="1" applyFill="1" applyAlignment="1"/>
    <xf numFmtId="0" fontId="1" fillId="2" borderId="0" xfId="0" applyFont="1" applyFill="1" applyAlignment="1"/>
    <xf numFmtId="0" fontId="1" fillId="3" borderId="0" xfId="0" applyFont="1" applyFill="1"/>
    <xf numFmtId="0" fontId="1" fillId="3" borderId="0" xfId="0" applyFont="1" applyFill="1" applyAlignment="1"/>
    <xf numFmtId="0" fontId="2" fillId="4" borderId="0" xfId="0" applyFont="1" applyFill="1"/>
    <xf numFmtId="0" fontId="1" fillId="3" borderId="0" xfId="0" applyFont="1" applyFill="1" applyAlignment="1"/>
    <xf numFmtId="0" fontId="1" fillId="5" borderId="0" xfId="0" applyFont="1" applyFill="1"/>
    <xf numFmtId="0" fontId="1" fillId="5" borderId="0" xfId="0" applyFont="1" applyFill="1" applyAlignment="1"/>
    <xf numFmtId="0" fontId="1" fillId="5" borderId="0" xfId="0" applyFont="1" applyFill="1" applyAlignment="1"/>
    <xf numFmtId="0" fontId="2" fillId="4" borderId="0" xfId="0" applyFont="1" applyFill="1" applyAlignment="1"/>
    <xf numFmtId="0" fontId="2" fillId="4" borderId="0" xfId="0" applyFont="1" applyFill="1" applyAlignment="1"/>
    <xf numFmtId="0" fontId="3" fillId="4" borderId="0" xfId="0" applyFont="1" applyFill="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workbookViewId="0">
      <pane ySplit="1" topLeftCell="A104" activePane="bottomLeft" state="frozen"/>
      <selection pane="bottomLeft" activeCell="I14" sqref="I14"/>
    </sheetView>
  </sheetViews>
  <sheetFormatPr baseColWidth="10" defaultColWidth="12.6328125" defaultRowHeight="15.75" customHeight="1"/>
  <cols>
    <col min="3" max="3" width="61.08984375" customWidth="1"/>
    <col min="4" max="4" width="25.08984375" customWidth="1"/>
    <col min="5" max="5" width="24.08984375" customWidth="1"/>
  </cols>
  <sheetData>
    <row r="1" spans="1:7" ht="15.75" customHeight="1">
      <c r="A1" s="1" t="s">
        <v>0</v>
      </c>
      <c r="B1" s="2" t="s">
        <v>1</v>
      </c>
      <c r="C1" s="3" t="s">
        <v>2</v>
      </c>
      <c r="D1" s="4" t="s">
        <v>3</v>
      </c>
      <c r="E1" s="4" t="s">
        <v>4</v>
      </c>
      <c r="F1" s="1" t="s">
        <v>5</v>
      </c>
      <c r="G1" s="1" t="s">
        <v>6</v>
      </c>
    </row>
    <row r="2" spans="1:7" ht="15.75" customHeight="1">
      <c r="A2" s="5">
        <v>31615000</v>
      </c>
      <c r="B2" s="6" t="s">
        <v>7</v>
      </c>
      <c r="C2" s="7"/>
      <c r="D2" s="8" t="s">
        <v>8</v>
      </c>
      <c r="E2" s="5"/>
      <c r="F2" s="5" t="s">
        <v>9</v>
      </c>
      <c r="G2" s="5" t="s">
        <v>10</v>
      </c>
    </row>
    <row r="3" spans="1:7" ht="15.75" customHeight="1">
      <c r="A3" s="9">
        <v>31099330</v>
      </c>
      <c r="B3" s="10" t="s">
        <v>11</v>
      </c>
      <c r="C3" s="7"/>
      <c r="D3" s="11" t="s">
        <v>8</v>
      </c>
      <c r="E3" s="9"/>
      <c r="F3" s="9" t="s">
        <v>12</v>
      </c>
      <c r="G3" s="9" t="s">
        <v>13</v>
      </c>
    </row>
    <row r="4" spans="1:7" ht="15.75" customHeight="1">
      <c r="A4" s="5">
        <v>25464974</v>
      </c>
      <c r="B4" s="6" t="s">
        <v>14</v>
      </c>
      <c r="C4" s="6" t="str">
        <f ca="1">IFERROR(__xludf.DUMMYFUNCTION("IMPORTXML(""https://pubmed.ncbi.nlm.nih.gov/""&amp;A10,""/html/body/div[5]/main/div[2]/div/p/text()"")")," A high-throughput phenotypic screen for novel antibacterial agents led to 
the discovery of a novel pyrazolopyrimidinedione, PPD-1, with preferential 
activity against methicillin-resistant Staphylococcus aureus (MRSA). 
Resistance mapping revealed the l"&amp;"ikely target of inhibition to be lysyl 
tRNA synthetase (LysRS). Preliminary structure-activity relationship (SAR) 
studies led to an analog, PPD-2, which gained Gram-negative antibacterial 
activity at the expense of MRSA activity and resistance to this "&amp;"compound 
mapped to prolyl tRNA synthetase (ProRS). These targets of inhibition were 
confirmed in vitro, with PPD-1 showing IC₅₀s of 21.7 and 35 μM in purified 
LysRS and ProRS enzyme assays, and PPD-2, 151 and 0.04 μM, respectively. 
The highly attracti"&amp;"ve chemical properties of these compounds combined with 
intriguing preliminary SAR suggest that further exploration of this 
compelling novel series is warranted. ")</f>
        <v xml:space="preserve"> A high-throughput phenotypic screen for novel antibacterial agents led to 
the discovery of a novel pyrazolopyrimidinedione, PPD-1, with preferential 
activity against methicillin-resistant Staphylococcus aureus (MRSA). 
Resistance mapping revealed the likely target of inhibition to be lysyl 
tRNA synthetase (LysRS). Preliminary structure-activity relationship (SAR) 
studies led to an analog, PPD-2, which gained Gram-negative antibacterial 
activity at the expense of MRSA activity and resistance to this compound 
mapped to prolyl tRNA synthetase (ProRS). These targets of inhibition were 
confirmed in vitro, with PPD-1 showing IC₅₀s of 21.7 and 35 μM in purified 
LysRS and ProRS enzyme assays, and PPD-2, 151 and 0.04 μM, respectively. 
The highly attractive chemical properties of these compounds combined with 
intriguing preliminary SAR suggest that further exploration of this 
compelling novel series is warranted. </v>
      </c>
      <c r="D4" s="5" t="s">
        <v>15</v>
      </c>
      <c r="E4" s="5" t="s">
        <v>16</v>
      </c>
      <c r="F4" s="5" t="s">
        <v>17</v>
      </c>
      <c r="G4" s="5" t="s">
        <v>18</v>
      </c>
    </row>
    <row r="5" spans="1:7" ht="15.75" customHeight="1">
      <c r="A5" s="9">
        <v>22972828</v>
      </c>
      <c r="B5" s="10" t="s">
        <v>19</v>
      </c>
      <c r="C5" s="12" t="str">
        <f ca="1">IFERROR(__xludf.DUMMYFUNCTION("IMPORTXML(""https://pubmed.ncbi.nlm.nih.gov/""&amp;A11,""/html/body/div[5]/main/div[2]/div/p/text()"")")," A longitudinal study combining multilocus sequence typing with molecular 
evolutionary analysis determined the distribution, population structure, 
and evolution of antibiotic resistance in Neisseria gonorrhoeae isolates in 
Saskatchewan that were collec"&amp;"ted between 2005 and 2008. Of 195 gonococcal 
isolates examined, 29 sequence types (STs) were identified with 3 major 
circulating strains (ST-1 through ST-3) comprising 52% of all gonococcal 
isolates studied. The prevalences, persistence, distribution p"&amp;"atterns, and 
clonalities of these isolates strongly suggest that gonorrhea endemicity 
within this broad geographic region was driven by these 3 circulating 
strains. ST-1 exhibited a significantly (P = 0.001) higher prevalence 
throughout the study than"&amp;" did the others, accounting for ∼25% of the tested 
isolates each year. The spatial distributions of the gonococcal strains 
indicated that ST-1 in 2007 entered a linear component of the sexual 
network, reaching the remote north and resulting in the furt"&amp;"her spread and 
maintenance of infection. Ciprofloxacin and azithromycin resistances were 
observed in distantly related gonococcal lineages, clearly indicating the 
convergent acquisition of these antibiotic-resistant phenotypes. In 
addition, all ciprof"&amp;"loxacin- and azithromycin-resistant lineages were found 
at the edges of the minimum spanning tree, far from the major lineages, 
suggesting that these antibiotic phenotypes were most likely introduced 
into the province. In contrast, resistance to penici"&amp;"llin was found mostly 
in the endemic gonococcal lineages, suggesting that penicillin resistance 
was probably acquired in Saskatchewan as a result of spontaneous mutations 
in already-established lineages. Tetracycline resistance was present in all 
STs "&amp;"except one, indicating its ubiquitous nature in the gonococcal 
population studied. ")</f>
        <v xml:space="preserve"> 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 </v>
      </c>
      <c r="D5" s="9" t="s">
        <v>20</v>
      </c>
      <c r="E5" s="9"/>
      <c r="F5" s="9" t="s">
        <v>21</v>
      </c>
      <c r="G5" s="9" t="s">
        <v>18</v>
      </c>
    </row>
    <row r="6" spans="1:7" ht="15.75" customHeight="1">
      <c r="A6" s="5">
        <v>26848972</v>
      </c>
      <c r="B6" s="6" t="s">
        <v>22</v>
      </c>
      <c r="C6" s="12" t="str">
        <f ca="1">IFERROR(__xludf.DUMMYFUNCTION("IMPORTXML(""https://pubmed.ncbi.nlm.nih.gov/""&amp;A12,""/html/body/div[5]/main/div[2]/div/p/text()"")")," A promising new drug target for the development of novel broad-spectrum 
antibiotics is the highly conserved small GTPase Obg (YhbZ, CgtA), a 
protein essential for the survival of all bacteria including Neisseria 
gonorrhoeae (GC). GC is the agent of go"&amp;"norrhea, a prevalent sexually 
transmitted disease resulting in serious consequences on reproductive and 
neonatal health. A preventive anti-gonorrhea vaccine does not exist, and 
options for effective antibiotic treatments are increasingly limited. To 
a"&amp;"ddress the dire need for alternative antimicrobial strategies, we have 
designed and optimized a 384-well GTPase assay to identify inhibitors of 
Obg using as a model Obg protein from GC, ObgGC. The assay was validated 
with a pilot screen of 40,000 compo"&amp;"unds and achieved an average Z' value of 
0.58 ± 0.02, which suggests a robust assay amenable to high-throughput 
screening. We developed secondary assessments for identified lead compounds 
that utilize the interaction between ObgGC and fluorescent guani"&amp;"ne 
nucleotide analogs, mant-GTP and mant-GDP, and an ObgGC variant with 
multiple alterations in the G-domains that prevent nucleotide binding. To 
evaluate the broad-spectrum potential of ObgGC inhibitors, Obg proteins of 
Klebsiella pneumoniae and meth"&amp;"icillin-resistant Staphylococcus aureus were 
assessed using the colorimetric and fluorescence-based activity assays. 
These approaches can be useful in identifying broad-spectrum Obg inhibitors 
and advancing the therapeutic battle against multidrug resi"&amp;"stant bacteria. ")</f>
        <v xml:space="preserve"> A promising new drug target for the development of novel broad-spectrum 
antibiotics is the highly conserved small GTPase Obg (YhbZ, CgtA), a 
protein essential for the survival of all bacteria including Neisseria 
gonorrhoeae (GC). GC is the agent of gonorrhea, a prevalent sexually 
transmitted disease resulting in serious consequences on reproductive and 
neonatal health. A preventive anti-gonorrhea vaccine does not exist, and 
options for effective antibiotic treatments are increasingly limited. To 
address the dire need for alternative antimicrobial strategies, we have 
designed and optimized a 384-well GTPase assay to identify inhibitors of 
Obg using as a model Obg protein from GC, ObgGC. The assay was validated 
with a pilot screen of 40,000 compounds and achieved an average Z' value of 
0.58 ± 0.02, which suggests a robust assay amenable to high-throughput 
screening. We developed secondary assessments for identified lead compounds 
that utilize the interaction between ObgGC and fluorescent guanine 
nucleotide analogs, mant-GTP and mant-GDP, and an ObgGC variant with 
multiple alterations in the G-domains that prevent nucleotide binding. To 
evaluate the broad-spectrum potential of ObgGC inhibitors, Obg proteins of 
Klebsiella pneumoniae and methicillin-resistant Staphylococcus aureus were 
assessed using the colorimetric and fluorescence-based activity assays. 
These approaches can be useful in identifying broad-spectrum Obg inhibitors 
and advancing the therapeutic battle against multidrug resistant bacteria. </v>
      </c>
      <c r="D6" s="5" t="s">
        <v>20</v>
      </c>
      <c r="E6" s="5" t="s">
        <v>23</v>
      </c>
      <c r="F6" s="5" t="s">
        <v>24</v>
      </c>
      <c r="G6" s="5" t="s">
        <v>18</v>
      </c>
    </row>
    <row r="7" spans="1:7" ht="15.75" customHeight="1">
      <c r="A7" s="9">
        <v>24571786</v>
      </c>
      <c r="B7" s="10" t="s">
        <v>25</v>
      </c>
      <c r="C7" s="12" t="str">
        <f ca="1">IFERROR(__xludf.DUMMYFUNCTION("IMPORTXML(""https://pubmed.ncbi.nlm.nih.gov/""&amp;A13,""/html/body/div[5]/main/div[2]/div/p/text()"")")," A total of 122 Neisseria gonorrhoeae isolated in the Tokyo metropolitan 
area in 2005-2011 were collected and analyzed by N. gonorrhoeae 
multiantigen sequence typing (NG-MAST) and for their susceptibility to 
azithromycin and ceftriaxone. All 122 strain"&amp;"s were susceptible to 
ceftriaxone, but 8 strains were azithromycin-resistant, defined as an 
azithromycin MIC ≥ 1 μg/ml. The 8 azithromycin-resistant strains were in 6 
NG-MAST types, 3 strains in NG-MAST type 1407 and each of the other 5 
strains in a d"&amp;"ifferent NG-MAST type. NG-MAST type 1407 strains are 
multidrug-resistant and are disseminated worldwide. ")</f>
        <v xml:space="preserve"> 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 </v>
      </c>
      <c r="D7" s="9" t="s">
        <v>26</v>
      </c>
      <c r="E7" s="9"/>
      <c r="F7" s="9" t="s">
        <v>27</v>
      </c>
      <c r="G7" s="9" t="s">
        <v>28</v>
      </c>
    </row>
    <row r="8" spans="1:7" ht="15.75" customHeight="1">
      <c r="A8" s="5">
        <v>28446378</v>
      </c>
      <c r="B8" s="6" t="s">
        <v>29</v>
      </c>
      <c r="C8" s="12" t="str">
        <f ca="1">IFERROR(__xludf.DUMMYFUNCTION("IMPORTXML(""https://pubmed.ncbi.nlm.nih.gov/""&amp;A14,""/html/body/div[5]/main/div[2]/div/p/text()"")")," A total of 128 Neisseria gonorrhoeae isolates were consecutively obtained 
in Changsha, China, between April 2015 and June 2016. The minimum 
inhibitory concentrations (MICs) of ceftriaxone were measured by agar 
dilution method for each isolate. Ceftria"&amp;"xone resistance determinants 
involving penA, mtrR, porB and ponA were amplified by PCR, and the PCR 
products were sequenced. N. gonorrhoeae multi-antigen sequence typing 
(NG-MAST) was conducted for genotyping. The results exhibited 11% (14/128) 
of iso"&amp;"lates were reduced susceptibility or resistant to ceftriaxone. One 
isolate with a susceptibility MIC of 0.03 mg/L harbored a penA mosaic 
allele. PBP2 A501V/T or P551S and the PorB1b G120K/A121D mutations were 
predominant in the 14 decreased susceptible"&amp;" or resistant isolates. Among 
the 128 isolates, 31 sequence types (STs) were identified, and the most 
prevalent STs were STnew1 (n = 40), ST5061 (n = 25) and ST9176 (n = 18). 
The 14 decreased susceptible or resistant isolates were resolved into 9 
STs,"&amp;" displaying considerable diversity. The results of ceftriaxone 
susceptibility testing indicated that ceftriaxone can continue to be 
recommended as the first-line drug for gonorrhea treatment in Changsha; 
however, it is important to maintain promptly su"&amp;"rveillance for 
antimicrobial resistance (AMR). Non-mosaic penA alleles with A501V/T, 
P551S, and porB1b mutations may contribute to ceftriaxone resistance or 
decreased susceptibility among N. gonorrhoeae in this area, and 
heterogenous STs in these isol"&amp;"ates excluded the clonal expansion for a 
particular subtype. ")</f>
        <v xml:space="preserve"> A total of 128 Neisseria gonorrhoeae isolates were consecutively obtained 
in Changsha, China, between April 2015 and June 2016. The minimum 
inhibitory concentrations (MICs) of ceftriaxone were measured by agar 
dilution method for each isolate. Ceftriaxone resistance determinants 
involving penA, mtrR, porB and ponA were amplified by PCR, and the PCR 
products were sequenced. N. gonorrhoeae multi-antigen sequence typing 
(NG-MAST) was conducted for genotyping. The results exhibited 11% (14/128) 
of isolates were reduced susceptibility or resistant to ceftriaxone. One 
isolate with a susceptibility MIC of 0.03 mg/L harbored a penA mosaic 
allele. PBP2 A501V/T or P551S and the PorB1b G120K/A121D mutations were 
predominant in the 14 decreased susceptible or resistant isolates. Among 
the 128 isolates, 31 sequence types (STs) were identified, and the most 
prevalent STs were STnew1 (n = 40), ST5061 (n = 25) and ST9176 (n = 18). 
The 14 decreased susceptible or resistant isolates were resolved into 9 
STs, displaying considerable diversity. The results of ceftriaxone 
susceptibility testing indicated that ceftriaxone can continue to be 
recommended as the first-line drug for gonorrhea treatment in Changsha; 
however, it is important to maintain promptly surveillance for 
antimicrobial resistance (AMR). Non-mosaic penA alleles with A501V/T, 
P551S, and porB1b mutations may contribute to ceftriaxone resistance or 
decreased susceptibility among N. gonorrhoeae in this area, and 
heterogenous STs in these isolates excluded the clonal expansion for a 
particular subtype. </v>
      </c>
      <c r="D8" s="5" t="s">
        <v>26</v>
      </c>
      <c r="E8" s="5"/>
      <c r="F8" s="5" t="s">
        <v>30</v>
      </c>
      <c r="G8" s="5" t="s">
        <v>31</v>
      </c>
    </row>
    <row r="9" spans="1:7" ht="15.75" customHeight="1">
      <c r="A9" s="9">
        <v>26967304</v>
      </c>
      <c r="B9" s="10" t="s">
        <v>32</v>
      </c>
      <c r="C9" s="12" t="str">
        <f ca="1">IFERROR(__xludf.DUMMYFUNCTION("IMPORTXML(""https://pubmed.ncbi.nlm.nih.gov/""&amp;A15,""/html/body/div[5]/main/div[2]/div/p/text()"")")," An HIV-negative man with pharyngeal gonorrhea had a positive test-of-cure 
(nucleic acid amplification test) result 7 days after treatment with 
ceftriaxone/azithromycin. Neisseria gonorrhoeae Multi-Antigen Sequencing 
Type 1407 and mosaic pen A (XXXIV) "&amp;"gene were identified in the test-of-cure 
specimen, and culture was negative. Retreatment with ceftriaxone 500 mg 
intramuscularly plus azithromycin 2 g orally yielded a negative 
test-of-cure result. ")</f>
        <v xml:space="preserve"> 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 </v>
      </c>
      <c r="D9" s="9" t="s">
        <v>20</v>
      </c>
      <c r="E9" s="9" t="s">
        <v>33</v>
      </c>
      <c r="F9" s="9" t="s">
        <v>34</v>
      </c>
      <c r="G9" s="9" t="s">
        <v>13</v>
      </c>
    </row>
    <row r="10" spans="1:7" ht="15.75" customHeight="1">
      <c r="A10" s="5">
        <v>23313483</v>
      </c>
      <c r="B10" s="6" t="s">
        <v>35</v>
      </c>
      <c r="C10" s="12" t="str">
        <f ca="1">IFERROR(__xludf.DUMMYFUNCTION("IMPORTXML(""https://pubmed.ncbi.nlm.nih.gov/""&amp;A16,""/html/body/div[5]/main/div[2]/div/p/text()"")")," AniA of the pathogenic Neisseria is glycosylated in its C-terminal repeat 
region by the pilin glycosylation (pgl) pathway. AniA appears to be unique 
among bacterial nitrite reductases as it contains an N-terminal extension 
that includes a lipid modifi"&amp;"cation site as well as a C-terminal extension 
that is glycosylated. Immunising with various glycoforms of the AniA 
protein demonstrated a strong humoral immune response to the basal 
monosaccharide. In addition, when animals were immunised with a trunca"&amp;"ted 
form of AniA, completely lacking the glycosylated C-terminal region, the 
antibody response was directed against AniA regardless of the glycosylation 
state of the protein. Immuno-SEM confirmed that AniA is expressed on the 
cell surface in Neisseria"&amp;" gonorrhoeae. Antisera generated against a 
truncated, non-glycosylated, recombinant form of the AniA protein are 
capable of blocking nitrite reductase function in a whole cell assay. We 
propose that recombinant modified AniA has potential as a vaccine "&amp;"antigen 
for N. gonorrhoeae. ")</f>
        <v xml:space="preserve"> AniA of the pathogenic Neisseria is glycosylated in its C-terminal repeat 
region by the pilin glycosylation (pgl) pathway. AniA appears to be unique 
among bacterial nitrite reductases as it contains an N-terminal extension 
that includes a lipid modification site as well as a C-terminal extension 
that is glycosylated. Immunising with various glycoforms of the AniA 
protein demonstrated a strong humoral immune response to the basal 
monosaccharide. In addition, when animals were immunised with a truncated 
form of AniA, completely lacking the glycosylated C-terminal region, the 
antibody response was directed against AniA regardless of the glycosylation 
state of the protein. Immuno-SEM confirmed that AniA is expressed on the 
cell surface in Neisseria gonorrhoeae. Antisera generated against a 
truncated, non-glycosylated, recombinant form of the AniA protein are 
capable of blocking nitrite reductase function in a whole cell assay. We 
propose that recombinant modified AniA has potential as a vaccine antigen 
for N. gonorrhoeae. </v>
      </c>
      <c r="D10" s="5" t="s">
        <v>36</v>
      </c>
      <c r="E10" s="5" t="s">
        <v>37</v>
      </c>
      <c r="F10" s="5" t="s">
        <v>38</v>
      </c>
      <c r="G10" s="5" t="s">
        <v>28</v>
      </c>
    </row>
    <row r="11" spans="1:7" ht="15.75" customHeight="1">
      <c r="A11" s="9">
        <v>32441045</v>
      </c>
      <c r="B11" s="10" t="s">
        <v>39</v>
      </c>
      <c r="C11" s="12" t="str">
        <f ca="1">IFERROR(__xludf.DUMMYFUNCTION("IMPORTXML(""https://pubmed.ncbi.nlm.nih.gov/""&amp;A17,""/html/body/div[5]/main/div[2]/div/p/text()"")")," Antimicrobial resistance (AMR) in Neisseria gonorrhoeae is a major health 
threat compromising the gonorrhoea treatment globally. AMR surveillance 
including whole genome sequencing (WGS)-based epidemiology provides ideal 
resolution to identify and desc"&amp;"ribe AMR gonococcal clones, AMR determinants 
and populations, which can inform management guidelines and antimicrobial 
stewardship policies. Our aims were to, for the first time, elucidate the 
WGS-based epidemiology and characterize AMR determinants of"&amp;" gonococcal 
strains spreading in Ukraine, 2013-2018. Gonococcal isolates (n = 150) from 
Ternopil and Dnipro, Ukraine (2013-2018), were subjected to AMR testing 
(Etest) for eight antimicrobials and WGS. Overall, 11.3% of isolates were 
resistant to cipr"&amp;"ofloxacin, 6.0% to tetracycline, and 0.7% to 
benzylpenicillin. No isolates were resistant to azithromycin, 
spectinomycin, ceftriaxone, or cefixime, but one isolate was bordering 
resistance to both cephalosporins. Twenty-five MLST STs, 50 NG-MAST STs, 
"&amp;"and 34 NG-STAR types were identified. The phylogenomic analysis revealed 
six main clusters, mostly associated with the internationally described 
multidrug-susceptible gonococcal lineage. Resistance to ciprofloxacin was 
associated with GyrA S91F and Par"&amp;"C S87R mutations; tetracyclines with rpsJ 
V57M and tetM; penicillins with mosaic penA-34.001 and β-lactamase; mtrR; 
PorB1b G101D, and PBP1 L421P mutations. One isolate of the 
multidrug-resistant NG-MAST ST1407, MLST ST1901 was found, which was 
borderi"&amp;"ng resistance to ceftriaxone and cefixime. The antimicrobial 
susceptibility of gonococcal strains spreading in Ternopil and Dnipro, 
Ukraine, in 2013-2018 was surprisingly high. Continued and expanded 
gonococcal AMR surveillance, ideally including WGS, "&amp;"in Ukraine is 
essential. This could inform action plans and public health policies to 
control the spread of AMR gonococcal strains in Ukraine. ")</f>
        <v xml:space="preserve"> Antimicrobial resistance (AMR) in Neisseria gonorrhoeae is a major health 
threat compromising the gonorrhoea treatment globally. AMR surveillance 
including whole genome sequencing (WGS)-based epidemiology provides ideal 
resolution to identify and describe AMR gonococcal clones, AMR determinants 
and populations, which can inform management guidelines and antimicrobial 
stewardship policies. Our aims were to, for the first time, elucidate the 
WGS-based epidemiology and characterize AMR determinants of gonococcal 
strains spreading in Ukraine, 2013-2018. Gonococcal isolates (n = 150) from 
Ternopil and Dnipro, Ukraine (2013-2018), were subjected to AMR testing 
(Etest) for eight antimicrobials and WGS. Overall, 11.3% of isolates were 
resistant to ciprofloxacin, 6.0% to tetracycline, and 0.7% to 
benzylpenicillin. No isolates were resistant to azithromycin, 
spectinomycin, ceftriaxone, or cefixime, but one isolate was bordering 
resistance to both cephalosporins. Twenty-five MLST STs, 50 NG-MAST STs, 
and 34 NG-STAR types were identified. The phylogenomic analysis revealed 
six main clusters, mostly associated with the internationally described 
multidrug-susceptible gonococcal lineage. Resistance to ciprofloxacin was 
associated with GyrA S91F and ParC S87R mutations; tetracyclines with rpsJ 
V57M and tetM; penicillins with mosaic penA-34.001 and β-lactamase; mtrR; 
PorB1b G101D, and PBP1 L421P mutations. One isolate of the 
multidrug-resistant NG-MAST ST1407, MLST ST1901 was found, which was 
bordering resistance to ceftriaxone and cefixime. The antimicrobial 
susceptibility of gonococcal strains spreading in Ternopil and Dnipro, 
Ukraine, in 2013-2018 was surprisingly high. Continued and expanded 
gonococcal AMR surveillance, ideally including WGS, in Ukraine is 
essential. This could inform action plans and public health policies to 
control the spread of AMR gonococcal strains in Ukraine. </v>
      </c>
      <c r="D11" s="9" t="s">
        <v>26</v>
      </c>
      <c r="E11" s="9"/>
      <c r="F11" s="9" t="s">
        <v>40</v>
      </c>
      <c r="G11" s="9" t="s">
        <v>41</v>
      </c>
    </row>
    <row r="12" spans="1:7" ht="15.75" customHeight="1">
      <c r="A12" s="5">
        <v>27499432</v>
      </c>
      <c r="B12" s="6" t="s">
        <v>42</v>
      </c>
      <c r="C12" s="12" t="str">
        <f ca="1">IFERROR(__xludf.DUMMYFUNCTION("IMPORTXML(""https://pubmed.ncbi.nlm.nih.gov/""&amp;A18,""/html/body/div[5]/main/div[2]/div/p/text()"")")," Antimicrobial resistance in Neisseria gonorrhoeae has severely limited the 
number of treatment options, and the emergence of extended-spectrum 
cephalosporin resistance threatens the effectiveness of the last remaining 
recommended treatment regimen. Th"&amp;"is study assessed the in vitro 
susceptibility of N. gonorrhoeae to ETX0914, a novel spiropyrimidinetrione 
that inhibits DNA biosynthesis. In vitro activity was determined by agar 
dilution against 100 N. gonorrhoeae isolates collected from men presentin"&amp;"g 
with urethritis in the USA during 2012-2013 through the Gonococcal Isolate 
Surveillance Project. The minimum inhibitory concentration (MIC) that 
inhibited growth in 50% (MIC50) and 90% (MIC90) of isolates was calculated 
for each antimicrobial agent."&amp;" ETX0914 demonstrated a high level of 
antimicrobial activity against N. gonorrhoeae, including isolates with 
decreased susceptibility or resistance to currently available agents. The 
ability of ETX0914 to inhibit the growth of N. gonorrhoeae was simila"&amp;"r to 
ceftriaxone, which is currently recommended in combination with 
azithromycin to treat gonorrhoea. The data presented in this study strongly 
suggest that ETX0914 should be evaluated in a clinical trial for the 
treatment of N. gonorrhoeae. ")</f>
        <v xml:space="preserve"> 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 </v>
      </c>
      <c r="D12" s="5" t="s">
        <v>20</v>
      </c>
      <c r="E12" s="5" t="s">
        <v>23</v>
      </c>
      <c r="F12" s="5" t="s">
        <v>43</v>
      </c>
      <c r="G12" s="5" t="s">
        <v>28</v>
      </c>
    </row>
    <row r="13" spans="1:7" ht="15.75" customHeight="1">
      <c r="A13" s="9">
        <v>30629196</v>
      </c>
      <c r="B13" s="10" t="s">
        <v>44</v>
      </c>
      <c r="C13" s="12" t="str">
        <f ca="1">IFERROR(__xludf.DUMMYFUNCTION("IMPORTXML(""https://pubmed.ncbi.nlm.nih.gov/""&amp;A19,""/html/body/div[5]/main/div[2]/div/p/text()"")"),"Loading...")</f>
        <v>Loading...</v>
      </c>
      <c r="D13" s="9" t="s">
        <v>20</v>
      </c>
      <c r="E13" s="9" t="s">
        <v>45</v>
      </c>
      <c r="F13" s="9" t="s">
        <v>46</v>
      </c>
      <c r="G13" s="9" t="s">
        <v>31</v>
      </c>
    </row>
    <row r="14" spans="1:7" ht="15.75" customHeight="1">
      <c r="A14" s="5">
        <v>26603424</v>
      </c>
      <c r="B14" s="6" t="s">
        <v>47</v>
      </c>
      <c r="C14" s="12" t="str">
        <f ca="1">IFERROR(__xludf.DUMMYFUNCTION("IMPORTXML(""https://pubmed.ncbi.nlm.nih.gov/""&amp;A20,""/html/body/div[5]/main/div[2]/div/p/text()"")")," Antimicrobial resistant Neisseria gonorrhoeae is a major concern to public 
health due to decreased susceptibility to frontline antimicrobials. To find 
agents that are active against N. gonorrhoeae, we tested antimicrobials 
alone or in combination by E"&amp;"test gradient strips. The potencies (as 
assessed by minimum inhibitory concentrations) of twenty-five 
antimicrobials were evaluated against nine reference strains of N. 
gonorrhoeae (WHO F, G, K, L, M, N, O, P and ATCC 49226). Potency was 
greatest for "&amp;"netilmicin, quinupristin-dalfopristin, ceftriaxone, ertapenem 
and piperacillin-tazobactam. Combinations of azithromycin, moxifloxacin, or 
gentamicin with ceftriaxone, doripenem, or aztreonam were tested against 
reference isolates and the fractional inh"&amp;"ibitory concentration index (FICI) 
was calculated. All nine combinations resulted in indifference (&gt;0.5 FICI ≤ 
4). Combinations with FICI &lt; 1 were further evaluated in nine clinical 
isolates which supported the finding of indifference. No antagonism wa"&amp;"s 
observed in any of the combinations tested. This is the first report in 
which the six combinations of azithromycin, moxifloxacin or gentamcin in 
combination with doripenem or aztreonam were tested in N. gonorrhoeae. 
These data on antimicrobials with"&amp;" higher potency and combinations that did 
not show antagonism can help to guide larger scale susceptibility studies 
for antimicrobial resistant N. gonorrhoeae. ")</f>
        <v xml:space="preserve"> 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v>
      </c>
      <c r="D14" s="5" t="s">
        <v>20</v>
      </c>
      <c r="E14" s="5" t="s">
        <v>33</v>
      </c>
      <c r="F14" s="5" t="s">
        <v>48</v>
      </c>
      <c r="G14" s="5" t="s">
        <v>49</v>
      </c>
    </row>
    <row r="15" spans="1:7" ht="15.75" customHeight="1">
      <c r="A15" s="9">
        <v>30807034</v>
      </c>
      <c r="B15" s="10" t="s">
        <v>50</v>
      </c>
      <c r="C15" s="12" t="str">
        <f ca="1">IFERROR(__xludf.DUMMYFUNCTION("IMPORTXML(""https://pubmed.ncbi.nlm.nih.gov/""&amp;A21,""/html/body/div[5]/main/div[2]/div/p/text()"")")," Asparagus suaveolens is a medicinal plant used in Lesotho and South Africa 
to treat epilepsy and gonorrhea. The current investigation identifies the 
compound responsible for the antiepileptic and antimicrobial properties as 
palmitone which showed anti"&amp;"gonorrhea activities against WHO 2008 Neisseria 
gonorrhea F and 0 strains more than the standard used, gentamicin. These 
results support the traditional use of A. suaveolens for treatment of 
gonorrhea and epilepsy since palmitone is known as an anticon"&amp;"vulsant agent. 
This is the first study indicating the presence of palmitone in the 
Asparagus genus and demonstrates the in vitro antigonorrhea activity of 
palmitone. ")</f>
        <v xml:space="preserve"> 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 </v>
      </c>
      <c r="D15" s="9" t="s">
        <v>20</v>
      </c>
      <c r="E15" s="9" t="s">
        <v>51</v>
      </c>
      <c r="F15" s="9" t="s">
        <v>43</v>
      </c>
      <c r="G15" s="9" t="s">
        <v>52</v>
      </c>
    </row>
    <row r="16" spans="1:7" ht="15.75" customHeight="1">
      <c r="A16" s="5">
        <v>30413681</v>
      </c>
      <c r="B16" s="6" t="s">
        <v>53</v>
      </c>
      <c r="C16" s="7" t="str">
        <f ca="1">IFERROR(__xludf.DUMMYFUNCTION("IMPORTXML(""https://pubmed.ncbi.nlm.nih.gov/""&amp;A22,""/html/body/div[5]/main/div[2]/div/p/text()"")"),"Loading...")</f>
        <v>Loading...</v>
      </c>
      <c r="D16" s="8" t="s">
        <v>8</v>
      </c>
      <c r="E16" s="5"/>
      <c r="F16" s="5" t="s">
        <v>54</v>
      </c>
      <c r="G16" s="5" t="s">
        <v>31</v>
      </c>
    </row>
    <row r="17" spans="1:7" ht="15.75" customHeight="1">
      <c r="A17" s="9">
        <v>32301751</v>
      </c>
      <c r="B17" s="10" t="s">
        <v>55</v>
      </c>
      <c r="C17" s="12" t="str">
        <f ca="1">IFERROR(__xludf.DUMMYFUNCTION("IMPORTXML(""https://pubmed.ncbi.nlm.nih.gov/""&amp;A23,""/html/body/div[5]/main/div[2]/div/p/text()"")")," Background Sexually transmitted infections continue to be a major health 
concern in sub-Saharan Africa where antimicrobial drugs are becoming 
ineffective due to increasing resistance. Many healthcare seekers in lower 
socio-economic settings depend on "&amp;"invasive alien plants administered by 
traditional health practitioners to treat sexually transmitted infections. 
Methods Roots of selected plants were analysed for phytoconstituents using 
standard methods. Both the disc diffusion model and microdilutio"&amp;"n technique 
were used to determine the inhibition zone and minimum inhibitory 
concentration (MIC) of plant extracts against six clinical fungal strains 
and standard strain of Neisseria gonorrhoea. One-way ANOVA was used to find 
significant differences"&amp;". Results Different phytoconstituents such as 
alkaloids, steroids, cardiac glycosides, terpenes, flavonoids, tannins and 
saponins were qualitatively detected, depending on plant species. Acetone 
extracted the highest number of phytoconstituents in Senn"&amp;"a didymobotrya, 
while methanol revealed most from Ricinus communis. Senna didymobotrya 
showed significant inhibition against Candida glabrata, C. krusei, C. 
parapsilosis and C. tropicalis. Dichloromethane extract of Catharanthus 
roseus and methanol ex"&amp;"tract of S. didymobotrya demonstrated excellent MIC 
values of 0.03 and 0.08 mg/mL, respectively, against C. glabrata. 
Catharanthus roseus, Opuntia ficus-indica and Ricinus communis demonstrated 
moderate to good antigonococcal activity, with all exhibit"&amp;"ing more than 63% 
inhibition. Catharanthus roseus had the best antigonococcal activity with a 
moderate MIC value of 0.63 mg/mL. Conclusion Some of the plant extracts 
demonstrated potency towards clinically isolated fungal strains and against 
N. gonorr"&amp;"hoea, which validate the notion that some of the species need 
further pharmacological studies for isolation and characterisation of 
active compounds. ")</f>
        <v xml:space="preserve"> 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 </v>
      </c>
      <c r="D17" s="9" t="s">
        <v>20</v>
      </c>
      <c r="E17" s="9" t="s">
        <v>51</v>
      </c>
      <c r="F17" s="9" t="s">
        <v>56</v>
      </c>
      <c r="G17" s="9" t="s">
        <v>52</v>
      </c>
    </row>
    <row r="18" spans="1:7" ht="15.75" customHeight="1">
      <c r="A18" s="5">
        <v>23433914</v>
      </c>
      <c r="B18" s="6" t="s">
        <v>57</v>
      </c>
      <c r="C18" s="7" t="str">
        <f ca="1">IFERROR(__xludf.DUMMYFUNCTION("IMPORTXML(""https://pubmed.ncbi.nlm.nih.gov/""&amp;A24,""/html/body/div[5]/main/div[2]/div/p/text()"")")," Bacterial culture remains the gold standard for symptomatic infection. 
Nucleic Acid Amplification Tests (NAATs) have better sensitivity and 
specificity for rectal and pharyngeal specimens. A bacterial culture with 
antibiogram must be done for all NAAT"&amp;" positive specimens in order to modify 
antibiotics prescription if needed. We must fear a diffusion of extensively 
drug-resistant Neisseria gonorrhoeae in the future. Nevertheless, 
ceftriaxone 500 mg intramuscular with 1 g of azithromycin against Chlam"&amp;"ydia 
trachomatis remains the treatment of N. gonorrhoeae infections. Screening 
of partners of identified cases and other STDs is the main measure to add 
to the treatment of gonorrhea. ")</f>
        <v xml:space="preserve"> Bacterial culture remains the gold standard for symptomatic infection. 
Nucleic Acid Amplification Tests (NAATs) have better sensitivity and 
specificity for rectal and pharyngeal specimens. A bacterial culture with 
antibiogram must be done for all NAAT positive specimens in order to modify 
antibiotics prescription if needed. We must fear a diffusion of extensively 
drug-resistant Neisseria gonorrhoeae in the future. Nevertheless, 
ceftriaxone 500 mg intramuscular with 1 g of azithromycin against Chlamydia 
trachomatis remains the treatment of N. gonorrhoeae infections. Screening 
of partners of identified cases and other STDs is the main measure to add 
to the treatment of gonorrhea. </v>
      </c>
      <c r="D18" s="8" t="s">
        <v>8</v>
      </c>
      <c r="E18" s="5"/>
      <c r="F18" s="5" t="s">
        <v>58</v>
      </c>
      <c r="G18" s="5" t="s">
        <v>49</v>
      </c>
    </row>
    <row r="19" spans="1:7" ht="15.75" customHeight="1">
      <c r="A19" s="9">
        <v>30260702</v>
      </c>
      <c r="B19" s="10" t="s">
        <v>59</v>
      </c>
      <c r="C19" s="12" t="str">
        <f ca="1">IFERROR(__xludf.DUMMYFUNCTION("IMPORTXML(""https://pubmed.ncbi.nlm.nih.gov/""&amp;A25,""/html/body/div[5]/main/div[2]/div/p/text()"")"),"Loading...")</f>
        <v>Loading...</v>
      </c>
      <c r="D19" s="9" t="s">
        <v>20</v>
      </c>
      <c r="E19" s="9" t="s">
        <v>60</v>
      </c>
      <c r="F19" s="9" t="s">
        <v>61</v>
      </c>
      <c r="G19" s="9" t="s">
        <v>28</v>
      </c>
    </row>
    <row r="20" spans="1:7" ht="15.75" customHeight="1">
      <c r="A20" s="5">
        <v>33741965</v>
      </c>
      <c r="B20" s="6" t="s">
        <v>62</v>
      </c>
      <c r="C20" s="12" t="str">
        <f ca="1">IFERROR(__xludf.DUMMYFUNCTION("IMPORTXML(""https://pubmed.ncbi.nlm.nih.gov/""&amp;A26,""/html/body/div[5]/main/div[2]/div/p/text()"")")," Bacterial ribosome rescue pathways that remove ribosomes stalled on mRNAs 
during translation have been proposed as novel antibiotic targets because 
they are essential in bacteria and are not conserved in humans. We 
previously reported the discovery of"&amp;" a family of acylaminooxadiazoles that 
selectively inhibit trans-translation, the main ribosome rescue pathway in 
bacteria. Here, we report optimization of the pharmacokinetic and 
antibiotic properties of the acylaminooxadiazoles, producing MBX-4132, 
"&amp;"which clears multiple-drug resistant Neisseria gonorrhoeae infection in 
mice after a single oral dose. Single particle cryogenic-EM studies of 
non-stop ribosomes show that acylaminooxadiazoles bind to a unique site 
near the peptidyl-transfer center and"&amp;" significantly alter the conformation 
of ribosomal protein bL27, suggesting a novel mechanism for specific 
inhibition of trans-translation by these molecules. These results show that 
trans-translation is a viable therapeutic target and reveal a new 
co"&amp;"nformation within the bacterial ribosome that may be critical for 
ribosome rescue pathways. ")</f>
        <v xml:space="preserve"> 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 </v>
      </c>
      <c r="D20" s="5" t="s">
        <v>20</v>
      </c>
      <c r="E20" s="5" t="s">
        <v>23</v>
      </c>
      <c r="F20" s="5" t="s">
        <v>63</v>
      </c>
      <c r="G20" s="5" t="s">
        <v>18</v>
      </c>
    </row>
    <row r="21" spans="1:7" ht="15.75" customHeight="1">
      <c r="A21" s="9">
        <v>33162204</v>
      </c>
      <c r="B21" s="10" t="s">
        <v>64</v>
      </c>
      <c r="C21" s="12" t="str">
        <f ca="1">IFERROR(__xludf.DUMMYFUNCTION("IMPORTXML(""https://pubmed.ncbi.nlm.nih.gov/""&amp;A27,""/html/body/div[5]/main/div[2]/div/p/text()"")")," Bacterial surface lipoproteins are emerging as attractive vaccine 
candidates due to their biological importance and the feasibility of their 
large-scale production for vaccine manufacturing. The global prevalence of 
gonorrhea, resistance to antibiotic"&amp;"s, and serious consequences to 
reproductive and neonatal health necessitate development of effective 
vaccines. Reverse vaccinology identified the surface-displayed L-methionine 
binding lipoprotein MetQ (NGO2139) and its homolog GNA1946 (NMB1946) as 
go"&amp;"nococcal and meningococcal vaccine candidates, respectively. Here, we 
assessed the suitability of MetQ for inclusion in a gonorrhea vaccine by 
examining MetQ conservation, its function inNeisseria gonorrhoeae (Ng) 
pathogenesis, and its ability to induc"&amp;"e protective immune responses using a 
female murine model of lower genital tract infection. In-depth 
bioinformatics, phylogenetics and mapping the most prevalent Ng polymorphic 
amino acids to the GNA1946 crystal structure revealed remarkable MetQ 
cons"&amp;"ervation: ~97% Ng isolates worldwide possess a single MetQ variant. 
Mice immunized with rMetQ-CpG (n = 40), a vaccine containing a tag-free 
version of MetQ formulated with CpG, exhibited robust, antigen-specific 
antibody responses in serum and at the v"&amp;"aginal mucosae including IgA. 
Consistent with the activity of CpG as a Th1-stimulating adjuvant, the 
serum IgG1/IgG2a ratio of 0.38 suggested a Th1 bias. Combined data from two 
independent challenge experiments demonstrated that rMetQ-CpG immunized 
mi"&amp;"ce cleared infection faster than control animals (vehicle, p &lt; 0.0001; 
CpG, p = 0.002) and had lower Ng burden (vehicle, p = 0.03; CpG, p &lt; 
0.0001). We conclude rMetQ-CpG induces a protective immune response that 
accelerates bacterial clearance from th"&amp;"e murine lower genital tract and 
represents an attractive component of a gonorrhea subunit vaccine. ")</f>
        <v xml:space="preserve"> Bacterial surface lipoproteins are emerging as attractive vaccine 
candidates due to their biological importance and the feasibility of their 
large-scale production for vaccine manufacturing. The global prevalence of 
gonorrhea, resistance to antibiotics, and serious consequences to 
reproductive and neonatal health necessitate development of effective 
vaccines. Reverse vaccinology identified the surface-displayed L-methionine 
binding lipoprotein MetQ (NGO2139) and its homolog GNA1946 (NMB1946) as 
gonococcal and meningococcal vaccine candidates, respectively. Here, we 
assessed the suitability of MetQ for inclusion in a gonorrhea vaccine by 
examining MetQ conservation, its function inNeisseria gonorrhoeae (Ng) 
pathogenesis, and its ability to induce protective immune responses using a 
female murine model of lower genital tract infection. In-depth 
bioinformatics, phylogenetics and mapping the most prevalent Ng polymorphic 
amino acids to the GNA1946 crystal structure revealed remarkable MetQ 
conservation: ~97% Ng isolates worldwide possess a single MetQ variant. 
Mice immunized with rMetQ-CpG (n = 40), a vaccine containing a tag-free 
version of MetQ formulated with CpG, exhibited robust, antigen-specific 
antibody responses in serum and at the vaginal mucosae including IgA. 
Consistent with the activity of CpG as a Th1-stimulating adjuvant, the 
serum IgG1/IgG2a ratio of 0.38 suggested a Th1 bias. Combined data from two 
independent challenge experiments demonstrated that rMetQ-CpG immunized 
mice cleared infection faster than control animals (vehicle, p &lt; 0.0001; 
CpG, p = 0.002) and had lower Ng burden (vehicle, p = 0.03; CpG, p &lt; 
0.0001). We conclude rMetQ-CpG induces a protective immune response that 
accelerates bacterial clearance from the murine lower genital tract and 
represents an attractive component of a gonorrhea subunit vaccine. </v>
      </c>
      <c r="D21" s="9" t="s">
        <v>36</v>
      </c>
      <c r="E21" s="9" t="s">
        <v>37</v>
      </c>
      <c r="F21" s="9" t="s">
        <v>65</v>
      </c>
      <c r="G21" s="9" t="s">
        <v>18</v>
      </c>
    </row>
    <row r="22" spans="1:7" ht="15.75" customHeight="1">
      <c r="A22" s="5">
        <v>30502515</v>
      </c>
      <c r="B22" s="6" t="s">
        <v>66</v>
      </c>
      <c r="C22" s="7" t="str">
        <f ca="1">IFERROR(__xludf.DUMMYFUNCTION("IMPORTXML(""https://pubmed.ncbi.nlm.nih.gov/""&amp;A28,""/html/body/div[5]/main/div[2]/div/p/text()"")"),"Loading...")</f>
        <v>Loading...</v>
      </c>
      <c r="D22" s="8" t="s">
        <v>8</v>
      </c>
      <c r="E22" s="5"/>
      <c r="F22" s="5" t="s">
        <v>61</v>
      </c>
      <c r="G22" s="5" t="s">
        <v>13</v>
      </c>
    </row>
    <row r="23" spans="1:7" ht="15.75" customHeight="1">
      <c r="A23" s="9">
        <v>33524048</v>
      </c>
      <c r="B23" s="10" t="s">
        <v>67</v>
      </c>
      <c r="C23" s="12" t="str">
        <f ca="1">IFERROR(__xludf.DUMMYFUNCTION("IMPORTXML(""https://pubmed.ncbi.nlm.nih.gov/""&amp;A29,""/html/body/div[5]/main/div[2]/div/p/text()"")")," Biofilm formation protects bacteria from antibiotics. Very little is known 
about the response of biofilm-dwelling bacteria to antibiotics at the 
single cell level. Here, we developed a cell-tracking approach to 
investigate how antibiotics affect struc"&amp;"ture and dynamics of colonies 
formed by the human pathogen Neisseria gonorrhoeae. Antibiotics targeting 
different cellular functions enlarge the cell volumes and modulate 
within-colony motility. Focusing on azithromycin and ceftriaxone, we 
identify ch"&amp;"anges in type 4 pilus (T4P) mediated cell-to-cell attraction as 
the molecular mechanism for different effects on motility. By using 
strongly attractive mutant strains, we reveal that the survivability under 
ceftriaxone treatment depends on motility. Co"&amp;"mbining our results, we find 
that sequential treatment with azithromycin and ceftriaxone is synergistic. 
Taken together, we demonstrate that antibiotics modulate T4P-mediated 
attractions and hence cell motility and colony fluidity. ")</f>
        <v xml:space="preserve"> Biofilm formation protects bacteria from antibiotics. Very little is known 
about the response of biofilm-dwelling bacteria to antibiotics at the 
single cell level. Here, we developed a cell-tracking approach to 
investigate how antibiotics affect structure and dynamics of colonies 
formed by the human pathogen Neisseria gonorrhoeae. Antibiotics targeting 
different cellular functions enlarge the cell volumes and modulate 
within-colony motility. Focusing on azithromycin and ceftriaxone, we 
identify changes in type 4 pilus (T4P) mediated cell-to-cell attraction as 
the molecular mechanism for different effects on motility. By using 
strongly attractive mutant strains, we reveal that the survivability under 
ceftriaxone treatment depends on motility. Combining our results, we find 
that sequential treatment with azithromycin and ceftriaxone is synergistic. 
Taken together, we demonstrate that antibiotics modulate T4P-mediated 
attractions and hence cell motility and colony fluidity. </v>
      </c>
      <c r="D23" s="9" t="s">
        <v>20</v>
      </c>
      <c r="E23" s="9" t="s">
        <v>33</v>
      </c>
      <c r="F23" s="9" t="s">
        <v>68</v>
      </c>
      <c r="G23" s="9" t="s">
        <v>28</v>
      </c>
    </row>
    <row r="24" spans="1:7" ht="15.75" customHeight="1">
      <c r="A24" s="5">
        <v>29553336</v>
      </c>
      <c r="B24" s="6" t="s">
        <v>69</v>
      </c>
      <c r="C24" s="12" t="str">
        <f ca="1">IFERROR(__xludf.DUMMYFUNCTION("IMPORTXML(""https://pubmed.ncbi.nlm.nih.gov/""&amp;A30,""/html/body/div[5]/main/div[2]/div/p/text()"")")," Cephalosporin-resistant Neisseria gonorrhoeae is a major public health 
concern. N. gonorrhoeae of multiantigen sequence type G1407 and multilocus 
sequence type 1901 is an internationally spreading cephalosporin-resistant 
clone. We detected 4 cases of "&amp;"infection with this clone in China and 
analyzed resistance determinants by using N. gonorrhoeae sequence typing 
for antimicrobial resistance. ")</f>
        <v xml:space="preserve"> 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 </v>
      </c>
      <c r="D24" s="5" t="s">
        <v>26</v>
      </c>
      <c r="E24" s="5"/>
      <c r="F24" s="5" t="s">
        <v>70</v>
      </c>
      <c r="G24" s="5" t="s">
        <v>52</v>
      </c>
    </row>
    <row r="25" spans="1:7" ht="12.5">
      <c r="A25" s="9">
        <v>28166698</v>
      </c>
      <c r="B25" s="10" t="s">
        <v>71</v>
      </c>
      <c r="C25" s="7" t="str">
        <f ca="1">IFERROR(__xludf.DUMMYFUNCTION("IMPORTXML(""https://pubmed.ncbi.nlm.nih.gov/""&amp;A31,""/html/body/div[5]/main/div[2]/div/p/text()"")")," Chlamydia trachomatis (CT), Neisseria gonorrhoeae (NG), and Trichomonas 
vaginalis (TV) are sexually transmitted infections (STIs) associated with 
adverse birth outcomes. Untreated partners contribute to high rates of STI 
reinfection; thus, partner not"&amp;"ification and treatment remain important 
components of STI care and control. A prospective cohort study was 
conducted among 300 pregnant women presenting to the antenatal clinic at 
Princess Marina Hospital in Gaborone, Botswana who enrolled in an STI 
"&amp;"screening study. Following informed consent and sample collection for 
CT/NG/TV testing, participants were asked if they were willing to disclose 
their STI result and to deliver medications to their partner(s). Those who 
tested positive were asked at a "&amp;"follow-up appointment if they notified 
their partners. Among the 300 participants, 294 (98%) said they would be 
willing to tell their partner(s) about their test results if they tested 
positive, and 284 (95%) said they would be willing to give their pa"&amp;"rtner(s) 
medication if the option was available. Of those who tested positive and 
returned for a test of cure, 27 of 32 (84%) reported that they told their 
partner about the results, and 20 of 32 (63%) reported that their partner 
received treatment. A"&amp;"lmost all pregnant women reported willingness to tell 
their partner the STI test result and give their partner medications. At 
test of cure, most women reported informing their partner, although actual 
treatment receipt was lower. Our findings suggest "&amp;"that pregnant women are 
willing to utilize patient-based partner notification, but actual partner 
treatment might be lower than intended. ")</f>
        <v xml:space="preserve"> Chlamydia trachomatis (CT), Neisseria gonorrhoeae (NG), and Trichomonas 
vaginalis (TV) are sexually transmitted infections (STIs) associated with 
adverse birth outcomes. Untreated partners contribute to high rates of STI 
reinfection; thus, partner notification and treatment remain important 
components of STI care and control. A prospective cohort study was 
conducted among 300 pregnant women presenting to the antenatal clinic at 
Princess Marina Hospital in Gaborone, Botswana who enrolled in an STI 
screening study. Following informed consent and sample collection for 
CT/NG/TV testing, participants were asked if they were willing to disclose 
their STI result and to deliver medications to their partner(s). Those who 
tested positive were asked at a follow-up appointment if they notified 
their partners. Among the 300 participants, 294 (98%) said they would be 
willing to tell their partner(s) about their test results if they tested 
positive, and 284 (95%) said they would be willing to give their partner(s) 
medication if the option was available. Of those who tested positive and 
returned for a test of cure, 27 of 32 (84%) reported that they told their 
partner about the results, and 20 of 32 (63%) reported that their partner 
received treatment. Almost all pregnant women reported willingness to tell 
their partner the STI test result and give their partner medications. At 
test of cure, most women reported informing their partner, although actual 
treatment receipt was lower. Our findings suggest that pregnant women are 
willing to utilize patient-based partner notification, but actual partner 
treatment might be lower than intended. </v>
      </c>
      <c r="D25" s="11" t="s">
        <v>8</v>
      </c>
      <c r="E25" s="9"/>
      <c r="F25" s="9" t="s">
        <v>72</v>
      </c>
      <c r="G25" s="9" t="s">
        <v>73</v>
      </c>
    </row>
    <row r="26" spans="1:7" ht="12.5">
      <c r="A26" s="5">
        <v>25427632</v>
      </c>
      <c r="B26" s="6" t="s">
        <v>74</v>
      </c>
      <c r="C26" s="12" t="str">
        <f ca="1">IFERROR(__xludf.DUMMYFUNCTION("IMPORTXML(""https://pubmed.ncbi.nlm.nih.gov/""&amp;A32,""/html/body/div[5]/main/div[2]/div/p/text()"")")," Comprehensive management of sexually transmitted infections (STIs) using 
vaginal or rectal microbicide-based intervention is one of the strategies 
for prevention of HIV infection. Herbal products have been used for 
treating STIs traditionally. Herein,"&amp;" we present in vitro activity of 10 
plant extracts and their 34 fractions against three sexually 
transmitted/reproductive tract pathogens - Neisseria gonorrhoeae, 
Haemophilus ducreyi and Candida albicans. The plant parts were selected; 
the extracts/fr"&amp;"actions were prepared and screened by disc diffusion method. 
The minimum inhibitory and minimum cidal concentrations were determined. 
The qualitative phytochemical analysis of selected extracts/fractions 
showing activity was performed. Of the extracts/"&amp;"fractions tested, three 
inhibited C. albicans, ten inhibited N. gonorrhoeae and five inhibited H. 
ducreyi growth. Our study demonstrated that Terminalia paniculata Roth. 
extracts/fractions inhibited growth of all three organisms. The ethyl 
acetate fra"&amp;"ction of Syzygium cumini Linn. and Bridelia retusa (L.) Spreng. 
extracts was found to inhibit N. gonorrhoeae at lowest concentrations. ")</f>
        <v xml:space="preserve"> Comprehensive management of sexually transmitted infections (STIs) using 
vaginal or rectal microbicide-based intervention is one of the strategies 
for prevention of HIV infection. Herbal products have been used for 
treating STIs traditionally. Herein, we present in vitro activity of 10 
plant extracts and their 34 fractions against three sexually 
transmitted/reproductive tract pathogens - Neisseria gonorrhoeae, 
Haemophilus ducreyi and Candida albicans. The plant parts were selected; 
the extracts/fractions were prepared and screened by disc diffusion method. 
The minimum inhibitory and minimum cidal concentrations were determined. 
The qualitative phytochemical analysis of selected extracts/fractions 
showing activity was performed. Of the extracts/fractions tested, three 
inhibited C. albicans, ten inhibited N. gonorrhoeae and five inhibited H. 
ducreyi growth. Our study demonstrated that Terminalia paniculata Roth. 
extracts/fractions inhibited growth of all three organisms. The ethyl 
acetate fraction of Syzygium cumini Linn. and Bridelia retusa (L.) Spreng. 
extracts was found to inhibit N. gonorrhoeae at lowest concentrations. </v>
      </c>
      <c r="D26" s="5" t="s">
        <v>20</v>
      </c>
      <c r="E26" s="5" t="s">
        <v>51</v>
      </c>
      <c r="F26" s="5">
        <v>2015</v>
      </c>
      <c r="G26" s="5" t="s">
        <v>28</v>
      </c>
    </row>
    <row r="27" spans="1:7" ht="12.5">
      <c r="A27" s="9">
        <v>31389367</v>
      </c>
      <c r="B27" s="10" t="s">
        <v>75</v>
      </c>
      <c r="C27" s="7" t="str">
        <f ca="1">IFERROR(__xludf.DUMMYFUNCTION("IMPORTXML(""https://pubmed.ncbi.nlm.nih.gov/""&amp;A33,""/html/body/div[5]/main/div[2]/div/p/text()"")")," Despite adequate treatment of reproductive tract infection, there is 
persistence of symptoms in some patients. This raises the possibility of 
existence of other silent microbes with pathogenic potential. Apart from 
the common sexually transmitted orga"&amp;"nisms such as Chlamydia trachomatis and 
Neisseria gonorrhoeae, there are other silent and emerging pathogens, like 
genital mycoplasma, which have been associated with cervicitis, pelvic 
inflammatory disease, infertility, and pregnancy-related complicat"&amp;"ions in 
women. Although these organisms were identified decades ago, they are still 
overlooked or ignored. There is a need to understand the role played by 
these organisms in Asian populations and their susceptibility to the 
standard line of treatment"&amp;". Data on genital mycoplasma infections in Indian 
women is heterogeneous, with limited evidence of pathogenicity. Although 
known for their wide spectrum of reproductive morbidities in western 
counterparts, these microorganisms are yet to gain the atten"&amp;"tion of Indian 
clinicians and microbiologists. There is paucity of adequate information in 
India regarding these infections, so Indian literature was compiled to get 
an overview of these pathogens, their association with reproductive 
morbidities, and "&amp;"their response to treatment. Thus, there is a need to 
explore genital mycoplasma infections in Indian women, especially in the 
arena of antimicrobial resistance among genital mycoplasma, which has the 
potential to become a major problem. A literature s"&amp;"earch with keywords 
focusing on ""genital mycoplasma"", ""sexually transmitted infections India"", 
""sexually transmitted mycoplasma"", and ""characteristic of mycoplasma"" was 
carried out through computerized databases like PubMed, MEDLINE, Embase, 
a"&amp;"nd Google Scholar. ")</f>
        <v xml:space="preserve"> Despite adequate treatment of reproductive tract infection, there is 
persistence of symptoms in some patients. This raises the possibility of 
existence of other silent microbes with pathogenic potential. Apart from 
the common sexually transmitted organisms such as Chlamydia trachomatis and 
Neisseria gonorrhoeae, there are other silent and emerging pathogens, like 
genital mycoplasma, which have been associated with cervicitis, pelvic 
inflammatory disease, infertility, and pregnancy-related complications in 
women. Although these organisms were identified decades ago, they are still 
overlooked or ignored. There is a need to understand the role played by 
these organisms in Asian populations and their susceptibility to the 
standard line of treatment. Data on genital mycoplasma infections in Indian 
women is heterogeneous, with limited evidence of pathogenicity. Although 
known for their wide spectrum of reproductive morbidities in western 
counterparts, these microorganisms are yet to gain the attention of Indian 
clinicians and microbiologists. There is paucity of adequate information in 
India regarding these infections, so Indian literature was compiled to get 
an overview of these pathogens, their association with reproductive 
morbidities, and their response to treatment. Thus, there is a need to 
explore genital mycoplasma infections in Indian women, especially in the 
arena of antimicrobial resistance among genital mycoplasma, which has the 
potential to become a major problem. A literature search with keywords 
focusing on "genital mycoplasma", "sexually transmitted infections India", 
"sexually transmitted mycoplasma", and "characteristic of mycoplasma" was 
carried out through computerized databases like PubMed, MEDLINE, Embase, 
and Google Scholar. </v>
      </c>
      <c r="D27" s="11" t="s">
        <v>8</v>
      </c>
      <c r="E27" s="9"/>
      <c r="F27" s="9" t="s">
        <v>76</v>
      </c>
      <c r="G27" s="9" t="s">
        <v>31</v>
      </c>
    </row>
    <row r="28" spans="1:7" ht="12.5">
      <c r="A28" s="5">
        <v>28768469</v>
      </c>
      <c r="B28" s="6" t="s">
        <v>77</v>
      </c>
      <c r="C28" s="7" t="str">
        <f ca="1">IFERROR(__xludf.DUMMYFUNCTION("IMPORTXML(""https://pubmed.ncbi.nlm.nih.gov/""&amp;A34,""/html/body/div[5]/main/div[2]/div/p/text()"")")," Despite recent rises in the number of cases of sexually transmitted 
infections (STIs) such as syphilis and gonorrhoea in England and increasing 
rates of HIV diagnosis among several men who have sex with men populations, 
many individuals are still not "&amp;"engaging with sexual health services. The 
John Hunter Clinic for Sexual Health, Chelsea and Westminster Hospital, 
London set up outreach clinics at the two world's largest adult lifestyle 
exhibitions in 2013 and 2015. This was the first time that a sex"&amp;"ual health 
screening and promotion service was available at these large-scale (over 
10,000 attendees at each) adult lifestyle events. A total of 381 
individuals underwent STI screening across the two events. Nineteen (5.0%) 
patients were diagnosed wit"&amp;"h an infection. Twelve (3.1%) patients with 
Chlamydia trachomatis, three (0.8%) patients with syphilis, one (0.3%) 
patient with Neisseria gonorrhoeae, one (0.3%) patient with HIV, one (0.3%) 
patient with hepatitis B and one (0.3%) patient with hepatiti"&amp;"s C. All 19 
patients were promptly contacted with their results and had arrangements 
made for treatment or were referred for specialist follow up. Where 
possible, contact tracing was also performed. Implementing such 
outreach-based projects is challen"&amp;"ged by lack of on-site laboratory 
support, high staffing demands and potentially high costs. However, we 
achieved a total HIV screening uptake rate of 94.5% amongst our outreach 
clinic attendees (versus 67% nationally in conventional sexual health 
cli"&amp;"nic attendees) with an HIV positivity rate of 0.3% (versus 0.2% 
nationally in high HIV prevalence band populations). Additionally, 30.7% 
had never been tested for HIV previously (versus 20.7% nationally). Our 
work demonstrates that these strategies can"&amp;" help to address issues related 
to lack of STI/HIV screening in hard-to-reach populations and promote risk 
reduction behaviour. ")</f>
        <v xml:space="preserve"> Despite recent rises in the number of cases of sexually transmitted 
infections (STIs) such as syphilis and gonorrhoea in England and increasing 
rates of HIV diagnosis among several men who have sex with men populations, 
many individuals are still not engaging with sexual health services. The 
John Hunter Clinic for Sexual Health, Chelsea and Westminster Hospital, 
London set up outreach clinics at the two world's largest adult lifestyle 
exhibitions in 2013 and 2015. This was the first time that a sexual health 
screening and promotion service was available at these large-scale (over 
10,000 attendees at each) adult lifestyle events. A total of 381 
individuals underwent STI screening across the two events. Nineteen (5.0%) 
patients were diagnosed with an infection. Twelve (3.1%) patients with 
Chlamydia trachomatis, three (0.8%) patients with syphilis, one (0.3%) 
patient with Neisseria gonorrhoeae, one (0.3%) patient with HIV, one (0.3%) 
patient with hepatitis B and one (0.3%) patient with hepatitis C. All 19 
patients were promptly contacted with their results and had arrangements 
made for treatment or were referred for specialist follow up. Where 
possible, contact tracing was also performed. Implementing such 
outreach-based projects is challenged by lack of on-site laboratory 
support, high staffing demands and potentially high costs. However, we 
achieved a total HIV screening uptake rate of 94.5% amongst our outreach 
clinic attendees (versus 67% nationally in conventional sexual health 
clinic attendees) with an HIV positivity rate of 0.3% (versus 0.2% 
nationally in high HIV prevalence band populations). Additionally, 30.7% 
had never been tested for HIV previously (versus 20.7% nationally). Our 
work demonstrates that these strategies can help to address issues related 
to lack of STI/HIV screening in hard-to-reach populations and promote risk 
reduction behaviour. </v>
      </c>
      <c r="D28" s="8" t="s">
        <v>8</v>
      </c>
      <c r="E28" s="5"/>
      <c r="F28" s="5" t="s">
        <v>78</v>
      </c>
      <c r="G28" s="5" t="s">
        <v>73</v>
      </c>
    </row>
    <row r="29" spans="1:7" ht="12.5">
      <c r="A29" s="9">
        <v>28418303</v>
      </c>
      <c r="B29" s="10" t="s">
        <v>79</v>
      </c>
      <c r="C29" s="12" t="str">
        <f ca="1">IFERROR(__xludf.DUMMYFUNCTION("IMPORTXML(""https://pubmed.ncbi.nlm.nih.gov/""&amp;A35,""/html/body/div[5]/main/div[2]/div/p/text()"")")," During 2016, eight Neisseria gonorrhoeae isolates from 7 patients in 
Hawaii were resistant to azithromycin; 5 had decreased in vitro 
susceptibility to ceftriaxone. Genomic analysis demonstrated a distinct 
phylogenetic clade when compared with local co"&amp;"ntemporary strains. Continued 
evolution and widespread transmission of these strains might challenge the 
effectiveness of current therapeutic options. ")</f>
        <v xml:space="preserve"> During 2016, eight Neisseria gonorrhoeae isolates from 7 patients in 
Hawaii were resistant to azithromycin; 5 had decreased in vitro 
susceptibility to ceftriaxone. Genomic analysis demonstrated a distinct 
phylogenetic clade when compared with local contemporary strains. Continued 
evolution and widespread transmission of these strains might challenge the 
effectiveness of current therapeutic options. </v>
      </c>
      <c r="D29" s="9" t="s">
        <v>26</v>
      </c>
      <c r="E29" s="9"/>
      <c r="F29" s="9" t="s">
        <v>80</v>
      </c>
      <c r="G29" s="9" t="s">
        <v>49</v>
      </c>
    </row>
    <row r="30" spans="1:7" ht="12.5">
      <c r="A30" s="5">
        <v>28462458</v>
      </c>
      <c r="B30" s="6" t="s">
        <v>81</v>
      </c>
      <c r="C30" s="12" t="str">
        <f ca="1">IFERROR(__xludf.DUMMYFUNCTION("IMPORTXML(""https://pubmed.ncbi.nlm.nih.gov/""&amp;A36,""/html/body/div[5]/main/div[2]/div/p/text()"")")," Early maternal infections with Neisseria gonorrhoeae (NG) correlate to an 
increased lifetime schizophrenia risk for the offspring, which might be due 
to an immune-mediated mechanism. Here, we investigated the interactions of 
polyclonal antisera to NG "&amp;"(α-NG) with a first trimester prenatal brain 
multiprotein array, revealing among others the SNARE-complex protein Snap23 
as a target antigen for α-NG. This interaction was confirmed by Western 
blot analysis with a recombinant Snap23 protein, whereas th"&amp;"e closely 
related Snap25 failed to interact with α-NG. Furthermore, a polyclonal 
antiserum to the closely related bacterium Neisseria meningitidis (α-NM) 
failed to interact with both proteins. Functionally, in SH-SY5Y cells, α-NG 
pretreatment interfer"&amp;"ed with both insulin-induced vesicle recycling, as 
revealed by uptake of the fluorescent endocytosis marker FM1-43, and 
insulin-dependent membrane translocation of the glucose transporter GluT4. 
Similar effects could be observed for an antiserum raised"&amp;" directly to 
Snap23, whereas a serum to Snap25 failed to do so. In conclusion, Snap23 
seems to be a possible immune target for anti-gonococcal antibodies, the 
interactions of which seem at least in vitro to interfere with 
vesicle-associated exocytosis"&amp;". Whether these changes contribute to the 
correlation between maternal gonococcal infections and psychosis in vivo 
remains still to be clarified. ")</f>
        <v xml:space="preserve"> Early maternal infections with Neisseria gonorrhoeae (NG) correlate to an 
increased lifetime schizophrenia risk for the offspring, which might be due 
to an immune-mediated mechanism. Here, we investigated the interactions of 
polyclonal antisera to NG (α-NG) with a first trimester prenatal brain 
multiprotein array, revealing among others the SNARE-complex protein Snap23 
as a target antigen for α-NG. This interaction was confirmed by Western 
blot analysis with a recombinant Snap23 protein, whereas the closely 
related Snap25 failed to interact with α-NG. Furthermore, a polyclonal 
antiserum to the closely related bacterium Neisseria meningitidis (α-NM) 
failed to interact with both proteins. Functionally, in SH-SY5Y cells, α-NG 
pretreatment interfered with both insulin-induced vesicle recycling, as 
revealed by uptake of the fluorescent endocytosis marker FM1-43, and 
insulin-dependent membrane translocation of the glucose transporter GluT4. 
Similar effects could be observed for an antiserum raised directly to 
Snap23, whereas a serum to Snap25 failed to do so. In conclusion, Snap23 
seems to be a possible immune target for anti-gonococcal antibodies, the 
interactions of which seem at least in vitro to interfere with 
vesicle-associated exocytosis. Whether these changes contribute to the 
correlation between maternal gonococcal infections and psychosis in vivo 
remains still to be clarified. </v>
      </c>
      <c r="D30" s="5" t="s">
        <v>36</v>
      </c>
      <c r="E30" s="5" t="s">
        <v>37</v>
      </c>
      <c r="F30" s="5" t="s">
        <v>30</v>
      </c>
      <c r="G30" s="5" t="s">
        <v>41</v>
      </c>
    </row>
    <row r="31" spans="1:7" ht="12.5">
      <c r="A31" s="9">
        <v>28581359</v>
      </c>
      <c r="B31" s="10" t="s">
        <v>82</v>
      </c>
      <c r="C31" s="12" t="str">
        <f ca="1">IFERROR(__xludf.DUMMYFUNCTION("IMPORTXML(""https://pubmed.ncbi.nlm.nih.gov/""&amp;A37,""/html/body/div[5]/main/div[2]/div/p/text()"")")," Emergence of antimicrobial resistance in Neisseria gonorrhoeae is a major 
public health concern globally, and new antimicrobials for treatment of 
gonorrhea are imperative. In this study, the in vitro activity of 
sitafloxacin, a fluoroquinolone mainly "&amp;"used for respiratory tract or 
urogenital infections in Japan, and additional newer generation 
fluoroquinolones were determined against ciprofloxacin-resistant N. 
gonorrhoeae isolates. Minimum inhibitory concentrations (MICs) of 
ciprofloxacin, levoflox"&amp;"acin, moxifloxacin, sitafloxacin, pazufloxacin, and 
tosufloxacin against 47 N. gonorrhoeae isolates cultured in 2009 in Japan 
were determined by agar dilution method. The quinolone 
resistance-determining region (QRDR) of gyrA and parC was sequenced. Th"&amp;"e in 
vitro potency of sitafloxacin was substantially higher compared with all 
other tested fluoroquinolones. The MICs of sitafloxacin ranged from 0.03 to 
0.5 mg/L for 35 ciprofloxacin-resistant N. gonorrhoeae isolates 
(ciprofloxacin MICs from 2 to 32 "&amp;"mg/L). No identified mutations in GyrA and 
ParC QRDR resulted in higher sitafloxacin MIC than 0.5 mg/L. Sitafloxacin 
had a high activity against N. gonorrhoeae isolates, including strains with 
mutations in DNA gyrase and topoisomerase IV, resulting in "&amp;"high-level 
resistance to ciprofloxacin and all other newer generation fluoroquinolones 
examined. However, it was still to a lower extent affected by GyrA and ParC 
QRDR mutations resulting in sitafloxacin MICs of up to 0.5 mg/L. This 
indicates that sit"&amp;"afloxacin should not be considered for empirical 
first-line monotherapy of gonorrhea. However, sitafloxacin could be 
valuable in a dual antimicrobial therapy and for cases with ceftriaxone 
resistance or allergy. ")</f>
        <v xml:space="preserve"> 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v>
      </c>
      <c r="D31" s="9" t="s">
        <v>20</v>
      </c>
      <c r="E31" s="9" t="s">
        <v>23</v>
      </c>
      <c r="F31" s="9" t="s">
        <v>83</v>
      </c>
      <c r="G31" s="9" t="s">
        <v>18</v>
      </c>
    </row>
    <row r="32" spans="1:7" ht="12.5">
      <c r="A32" s="5">
        <v>25917402</v>
      </c>
      <c r="B32" s="6" t="s">
        <v>84</v>
      </c>
      <c r="C32" s="12" t="str">
        <f ca="1">IFERROR(__xludf.DUMMYFUNCTION("IMPORTXML(""https://pubmed.ncbi.nlm.nih.gov/""&amp;A38,""/html/body/div[5]/main/div[2]/div/p/text()"")")," Enolases are generally thought of as cytoplasmic enzymes involved in 
glycolysis and gluconeogenesis. However, several bacteria have active forms 
of enolase associated with the cell surface and these proteins are utilized 
for functions other than centr"&amp;"al metabolism. Recently, a surface-associated 
protein produced by Lactobacillus gasseri ATCC 33323 with homology to 
enolase was found to inhibit the adherence of the sexually transmitted 
pathogen, Neisseria gonorrhoeae, to epithelial cells in culture. "&amp;"Here, we 
show that the protein is an active enolase in vitro. A recombinantly 
expressed, C-terminal His-tagged version of the protein, His6-Eno3, 
inhibited gonococcal adherence. Assays utilizing inhibitors of enolase 
enzymatic activity showed that thi"&amp;"s inhibitory activity required the 
substrate-binding site to be in an open conformation; however, the enolase 
enzymatic activity of the protein was not necessary for inhibition of 
gonococcal adherence. An L. gasseri strain carrying an insertional mutat"&amp;"ion 
in eno3 was viable, indicating that eno3 is not an essential gene in L. 
gasseri 33323. This observation, along with the results of the enzyme 
assays, is consistent with reports that this strain encodes more than one 
enolase. Here we show that the "&amp;"three L. gasseri genes annotated as encoding 
an enolase are expressed. The L. gasseri eno3 mutant exhibited reduced, but 
not abolished, inhibition of gonococcal adherence, which supports the 
hypothesis that L. gasseri inhibition of gonococcal adherence"&amp;" is a 
multifactorial process. ")</f>
        <v xml:space="preserve"> Enolases are generally thought of as cytoplasmic enzymes involved in 
glycolysis and gluconeogenesis. However, several bacteria have active forms 
of enolase associated with the cell surface and these proteins are utilized 
for functions other than central metabolism. Recently, a surface-associated 
protein produced by Lactobacillus gasseri ATCC 33323 with homology to 
enolase was found to inhibit the adherence of the sexually transmitted 
pathogen, Neisseria gonorrhoeae, to epithelial cells in culture. Here, we 
show that the protein is an active enolase in vitro. A recombinantly 
expressed, C-terminal His-tagged version of the protein, His6-Eno3, 
inhibited gonococcal adherence. Assays utilizing inhibitors of enolase 
enzymatic activity showed that this inhibitory activity required the 
substrate-binding site to be in an open conformation; however, the enolase 
enzymatic activity of the protein was not necessary for inhibition of 
gonococcal adherence. An L. gasseri strain carrying an insertional mutation 
in eno3 was viable, indicating that eno3 is not an essential gene in L. 
gasseri 33323. This observation, along with the results of the enzyme 
assays, is consistent with reports that this strain encodes more than one 
enolase. Here we show that the three L. gasseri genes annotated as encoding 
an enolase are expressed. The L. gasseri eno3 mutant exhibited reduced, but 
not abolished, inhibition of gonococcal adherence, which supports the 
hypothesis that L. gasseri inhibition of gonococcal adherence is a 
multifactorial process. </v>
      </c>
      <c r="D32" s="5" t="s">
        <v>20</v>
      </c>
      <c r="E32" s="5" t="s">
        <v>60</v>
      </c>
      <c r="F32" s="5" t="s">
        <v>85</v>
      </c>
      <c r="G32" s="5" t="s">
        <v>86</v>
      </c>
    </row>
    <row r="33" spans="1:7" ht="12.5">
      <c r="A33" s="9">
        <v>24859038</v>
      </c>
      <c r="B33" s="10" t="s">
        <v>87</v>
      </c>
      <c r="C33" s="10" t="str">
        <f ca="1">IFERROR(__xludf.DUMMYFUNCTION("IMPORTXML(""https://pubmed.ncbi.nlm.nih.gov/""&amp;A39,""/html/body/div[5]/main/div[2]/div/p/text()"")")," Enolases are highly conserved metalloenzymes ubiquitous to cellular 
metabolism. While these enzymes share a large degree of sequence and 
structural similarity, they have been shown to possess a wide range of 
moonlighting functions. Recent studies show"&amp;"ed that an enolase from 
Lactobacillus gasseri impedes the ability of Neisseria gonorrhoeae to 
adhere to epithelial cells. We present the crystal structure of this 
enolase, the first from Lactobacillus, with one of its Mg(2+) cofactors. 
Determined usin"&amp;"g molecular replacement to 2.08Å, the structure has a 
flexible and surface exposed catalytic loop containing lysines, and may 
play a role in the inhibitory function. ")</f>
        <v xml:space="preserve"> Enolases are highly conserved metalloenzymes ubiquitous to cellular 
metabolism. While these enzymes share a large degree of sequence and 
structural similarity, they have been shown to possess a wide range of 
moonlighting functions. Recent studies showed that an enolase from 
Lactobacillus gasseri impedes the ability of Neisseria gonorrhoeae to 
adhere to epithelial cells. We present the crystal structure of this 
enolase, the first from Lactobacillus, with one of its Mg(2+) cofactors. 
Determined using molecular replacement to 2.08Å, the structure has a 
flexible and surface exposed catalytic loop containing lysines, and may 
play a role in the inhibitory function. </v>
      </c>
      <c r="D33" s="9" t="s">
        <v>15</v>
      </c>
      <c r="E33" s="9" t="s">
        <v>16</v>
      </c>
      <c r="F33" s="9" t="s">
        <v>88</v>
      </c>
      <c r="G33" s="9" t="s">
        <v>28</v>
      </c>
    </row>
    <row r="34" spans="1:7" ht="12.5">
      <c r="A34" s="5">
        <v>31213856</v>
      </c>
      <c r="B34" s="6" t="s">
        <v>89</v>
      </c>
      <c r="C34" s="7" t="str">
        <f ca="1">IFERROR(__xludf.DUMMYFUNCTION("IMPORTXML(""https://pubmed.ncbi.nlm.nih.gov/""&amp;A40,""/html/body/div[5]/main/div[2]/div/p/text()"")")," Gonococcal conjunctivitis is due to ophthalmic infection with Neisseria 
gonorrhoeae, and it is considered rare in the non-neonatal populations, 
particularly its association with gonorrhea and chlamydial urethritis in 
the same patient. Here we describe"&amp;" a 27-year-old newly married man 
presenting gonococcal conjunctivitis and discuss the selection of 
antibiotic drugs associated with its course. ")</f>
        <v xml:space="preserve"> Gonococcal conjunctivitis is due to ophthalmic infection with Neisseria 
gonorrhoeae, and it is considered rare in the non-neonatal populations, 
particularly its association with gonorrhea and chlamydial urethritis in 
the same patient. Here we describe a 27-year-old newly married man 
presenting gonococcal conjunctivitis and discuss the selection of 
antibiotic drugs associated with its course. </v>
      </c>
      <c r="D34" s="8" t="s">
        <v>8</v>
      </c>
      <c r="E34" s="5"/>
      <c r="F34" s="5" t="s">
        <v>90</v>
      </c>
      <c r="G34" s="5" t="s">
        <v>28</v>
      </c>
    </row>
    <row r="35" spans="1:7" ht="12.5">
      <c r="A35" s="9">
        <v>31119616</v>
      </c>
      <c r="B35" s="10" t="s">
        <v>91</v>
      </c>
      <c r="C35" s="12" t="str">
        <f ca="1">IFERROR(__xludf.DUMMYFUNCTION("IMPORTXML(""https://pubmed.ncbi.nlm.nih.gov/""&amp;A41,""/html/body/div[5]/main/div[2]/div/p/text()"")")," Gonorrhea and antimicrobial resistance (AMR) in Neisseria gonorrhoeae are 
major public health concerns globally. Dual antimicrobial therapy (mainly 
ceftriaxone 250-500 mg × 1 plus azithromycin 1-2 g × 1) is currently 
recommended in many countries. The"&amp;"se dual therapies have high cure rates, 
have likely been involved in decreasing the level of cephalosporin 
resistance internationally, and inhibit the spread of AMR gonococcal 
strains. However, ceftriaxone-resistant strains are currently spreading 
int"&amp;"ernationally, predominately associated with travel to Asia. Furthermore, 
the first global treatment failure with recommended dual therapy was 
reported in 2016 and the first isolates with combined ceftriaxone 
resistance and high-level azithromycin resis"&amp;"tance were reported in 2018 in 
the UK and Australia. New antimicrobials for treatment of gonorrhea are 
essential and, of the few antimicrobials in clinical development, 
zoliflodacin particularly appears promising. Holistic actions are 
imperative. Thes"&amp;"e include an enhanced advocacy; prevention, early 
diagnosis, contact tracing, treatment, test-of-cure, and additional 
measures for effective management of anogenital and pharyngeal gonorrhea; 
antimicrobial stewardship; surveillance of infection, AMR an"&amp;"d treatment 
failures; and intensified research, for example, regarding rapid molecular 
point-of-care detection of gonococci and AMR, novel AMR determinants, new 
antimicrobials, and an effective gonococcal vaccine, which is the only 
sustainable solutio"&amp;"n for management and control of gonorrhea. ")</f>
        <v xml:space="preserve"> Gonorrhea and antimicrobial resistance (AMR) in Neisseria gonorrhoeae are 
major public health concerns globally. Dual antimicrobial therapy (mainly 
ceftriaxone 250-500 mg × 1 plus azithromycin 1-2 g × 1) is currently 
recommended in many countries. These dual therapies have high cure rates, 
have likely been involved in decreasing the level of cephalosporin 
resistance internationally, and inhibit the spread of AMR gonococcal 
strains. However, ceftriaxone-resistant strains are currently spreading 
internationally, predominately associated with travel to Asia. Furthermore, 
the first global treatment failure with recommended dual therapy was 
reported in 2016 and the first isolates with combined ceftriaxone 
resistance and high-level azithromycin resistance were reported in 2018 in 
the UK and Australia. New antimicrobials for treatment of gonorrhea are 
essential and, of the few antimicrobials in clinical development, 
zoliflodacin particularly appears promising. Holistic actions are 
imperative. These include an enhanced advocacy; prevention, early 
diagnosis, contact tracing, treatment, test-of-cure, and additional 
measures for effective management of anogenital and pharyngeal gonorrhea; 
antimicrobial stewardship; surveillance of infection, AMR and treatment 
failures; and intensified research, for example, regarding rapid molecular 
point-of-care detection of gonococci and AMR, novel AMR determinants, new 
antimicrobials, and an effective gonococcal vaccine, which is the only 
sustainable solution for management and control of gonorrhea. </v>
      </c>
      <c r="D35" s="9" t="s">
        <v>20</v>
      </c>
      <c r="E35" s="9" t="s">
        <v>33</v>
      </c>
      <c r="F35" s="9">
        <v>2019</v>
      </c>
      <c r="G35" s="9" t="s">
        <v>13</v>
      </c>
    </row>
    <row r="36" spans="1:7" ht="12.5">
      <c r="A36" s="5">
        <v>31661468</v>
      </c>
      <c r="B36" s="6" t="s">
        <v>92</v>
      </c>
      <c r="C36" s="12" t="str">
        <f ca="1">IFERROR(__xludf.DUMMYFUNCTION("IMPORTXML(""https://pubmed.ncbi.nlm.nih.gov/""&amp;A42,""/html/body/div[5]/main/div[2]/div/p/text()"")")," Gonorrhea is a sexually transmitted infection with 87 million new cases 
per year globally. Increasing antibiotic resistance has severely limited 
treatment options. A mechanism that Neisseria gonorrhoeae uses to evade 
complement attack is binding of th"&amp;"e complement inhibitor C4b-binding 
protein (C4BP). We screened 107 porin B1a (PorB1a) and 83 PorB1b clinical 
isolates randomly selected from a Swedish strain collection over the last 
10 years and noted that 96/107 (89.7%) PorB1a and 16/83 (19.3%) PorB1"&amp;"b 
bound C4BP; C4BP binding substantially correlated with the ability to evade 
complement-dependent killing (r = 0.78). We designed 2 chimeric proteins 
that fused C4BP domains to the backbone of IgG or IgM (C4BP-IgG; C4BP-IgM) 
with the aim of enhancing"&amp;" complement activation and killing of gonococci. 
Both proteins bound gonococci (KD C4BP-IgM = 2.4 nM; KD C4BP-IgG 980.7 nM), 
but only hexameric C4BP-IgM efficiently outcompeted heptameric C4BP from 
the bacterial surface, resulting in enhanced complemen"&amp;"t deposition and 
bacterial killing. Furthermore, C4BP-IgM substantially attenuated the 
duration and burden of colonization of 2 C4BP-binding gonococcal isolates 
but not a non-C4BP-binding strain in a mouse vaginal colonization model 
using human factor"&amp;" H/C4BP-transgenic mice. Our preclinical data present 
C4BP-IgM as an adjunct to conventional antimicrobials for the treatment of 
gonorrhea. ")</f>
        <v xml:space="preserve"> 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 </v>
      </c>
      <c r="D36" s="5" t="s">
        <v>20</v>
      </c>
      <c r="E36" s="5" t="s">
        <v>93</v>
      </c>
      <c r="F36" s="5" t="s">
        <v>94</v>
      </c>
      <c r="G36" s="5" t="s">
        <v>31</v>
      </c>
    </row>
    <row r="37" spans="1:7" ht="12.5">
      <c r="A37" s="9">
        <v>34871932</v>
      </c>
      <c r="B37" s="10" t="s">
        <v>95</v>
      </c>
      <c r="C37" s="12" t="str">
        <f ca="1">IFERROR(__xludf.DUMMYFUNCTION("IMPORTXML(""https://pubmed.ncbi.nlm.nih.gov/""&amp;A43,""/html/body/div[5]/main/div[2]/div/p/text()"")")," Gonorrhea is an urgent global public health threat as Neisseria 
gonorrhoeae (Ng) has progressively developed resistance to all antibiotics 
commonly used for treatment. Surveillance of antimicrobial susceptibility 
trends is critical to monitor the emer"&amp;"gence and spread of antimicrobial 
resistance. The gold standard methods for antimicrobial susceptibility 
testing (AST) of Ng are laborious and time-consuming. We evaluated a 
phenotypic molecular approach, involving a short cultivation step and 
quantit"&amp;"ative PCR, with lyophilized antimicrobials to characterize 
antimicrobial susceptibility in Ng. There was excellent concordance between 
AST performed with liquid and lyophilized ciprofloxacin, penicillin, and 
tetracycline using the pheno-molecular assay"&amp;", following a 4-hour incubation 
step. The categorical agreement between the pheno-molecular assay and the 
gold standard AST results was 92.4% for characterization of antimicrobial 
susceptibility. Essential agreement between the 2 methods was 91.9%. 
Ch"&amp;"aracterization of ceftriaxone susceptibility in Ng using the 
pheno-molecular assay required a 6-hour incubation step. ")</f>
        <v xml:space="preserve"> 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 </v>
      </c>
      <c r="D37" s="9" t="s">
        <v>20</v>
      </c>
      <c r="E37" s="9" t="s">
        <v>33</v>
      </c>
      <c r="F37" s="9" t="s">
        <v>96</v>
      </c>
      <c r="G37" s="9" t="s">
        <v>18</v>
      </c>
    </row>
    <row r="38" spans="1:7" ht="12.5">
      <c r="A38" s="5">
        <v>23183436</v>
      </c>
      <c r="B38" s="6" t="s">
        <v>97</v>
      </c>
      <c r="C38" s="6" t="str">
        <f ca="1">IFERROR(__xludf.DUMMYFUNCTION("IMPORTXML(""https://pubmed.ncbi.nlm.nih.gov/""&amp;A44,""/html/body/div[5]/main/div[2]/div/p/text()"")")," Gonorrhea may become untreatable, and new treatment options are essential. 
Verified resistance to spectinomycin is exceedingly rare. However, we 
describe a high-level spectinomycin-resistant (MIC, &gt;1,024 μg/ml) Neisseria 
gonorrhoeae strain from Norway"&amp;" with a novel resistance mechanism. The 
resistance determinant was a deletion of codon 27 (valine) and a K28E 
alteration in the ribosomal protein 5S. The traditional spectinomycin 
resistance gene (16S rRNA) was wild type. Despite this exceedingly rare "&amp;"
finding, spectinomycin available for treatment of ceftriaxone-resistant 
urogenital gonorrhea would be very valuable. ")</f>
        <v xml:space="preserve"> Gonorrhea may become untreatable, and new treatment options are essential. 
Verified resistance to spectinomycin is exceedingly rare. However, we 
describe a high-level spectinomycin-resistant (MIC, &gt;1,024 μg/ml) Neisseria 
gonorrhoeae strain from Norway with a novel resistance mechanism. The 
resistance determinant was a deletion of codon 27 (valine) and a K28E 
alteration in the ribosomal protein 5S. The traditional spectinomycin 
resistance gene (16S rRNA) was wild type. Despite this exceedingly rare 
finding, spectinomycin available for treatment of ceftriaxone-resistant 
urogenital gonorrhea would be very valuable. </v>
      </c>
      <c r="D38" s="5" t="s">
        <v>15</v>
      </c>
      <c r="E38" s="5" t="s">
        <v>98</v>
      </c>
      <c r="F38" s="5" t="s">
        <v>99</v>
      </c>
      <c r="G38" s="5" t="s">
        <v>13</v>
      </c>
    </row>
    <row r="39" spans="1:7" ht="12.5">
      <c r="A39" s="9">
        <v>22354296</v>
      </c>
      <c r="B39" s="10" t="s">
        <v>100</v>
      </c>
      <c r="C39" s="12" t="str">
        <f ca="1">IFERROR(__xludf.DUMMYFUNCTION("IMPORTXML(""https://pubmed.ncbi.nlm.nih.gov/""&amp;A45,""/html/body/div[5]/main/div[2]/div/p/text()"")")," Gonorrhea may become untreatable, and new treatment options are essential. 
We investigated the in vitro activity of the first fluoroketolide, 
solithromycin. Clinical Neisseria gonorrhoeae isolates and reference 
strains (n = 246), including the two ext"&amp;"ensively drug-resistant strains 
H041 and F89 and additional isolates with clinical cephalosporin resistance 
and multidrug resistance, were examined. The activity of solithromycin was 
mainly superior to that of other antimicrobials (n = 10) currently or"&amp;" 
previously recommended for gonorrhea treatment. Solithromycin might be an 
effective treatment option for gonorrhea. ")</f>
        <v xml:space="preserve"> 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 </v>
      </c>
      <c r="D39" s="9" t="s">
        <v>20</v>
      </c>
      <c r="E39" s="9" t="s">
        <v>23</v>
      </c>
      <c r="F39" s="9" t="s">
        <v>101</v>
      </c>
      <c r="G39" s="9" t="s">
        <v>28</v>
      </c>
    </row>
    <row r="40" spans="1:7" ht="12.5">
      <c r="A40" s="5">
        <v>33121366</v>
      </c>
      <c r="B40" s="6" t="s">
        <v>102</v>
      </c>
      <c r="C40" s="7" t="str">
        <f ca="1">IFERROR(__xludf.DUMMYFUNCTION("IMPORTXML(""https://pubmed.ncbi.nlm.nih.gov/""&amp;A46,""/html/body/div[5]/main/div[2]/div/p/text()"")")," Gonorrhoea is a major public health concern globally. Increasing incidence 
and sporadic ceftriaxone-resistant cases, including treatment failures, are 
growing concerns. The 2020 European gonorrhoea guideline provides 
up-to-date evidence-based guidance"&amp;" regarding the diagnosis and treatment of 
gonorrhoea. The updates and recommendations emphasize significantly 
increasing gonorrhoea incidence; broad indications for increased testing 
with validated and quality-assured nucleic acid amplification tests a"&amp;"nd 
culture; dual antimicrobial therapy including high-dose ceftriaxone and 
azithromycin (ceftriaxone 1 g plus azithromycin 2 g) OR ceftriaxone 1 g 
monotherapy (ONLY in well-controlled settings, see guideline for details) 
for uncomplicated gonorrhoea w"&amp;"hen the antimicrobial susceptibility is 
unknown; recommendation of test of cure (TOC) in all gonorrhoea cases to 
ensure eradication of infection and identify resistance; and enhanced 
surveillance of treatment failures when recommended treatment regimen"&amp;"s have 
been used. Improvements in access to appropriate testing, test performance, 
diagnostics, antimicrobial susceptibility surveillance and treatment, and 
follow-up of gonorrhoea patients are essential in controlling gonorrhoea 
and to mitigate the e"&amp;"mergence and/or spread of ceftriaxone resistance and 
multidrug-resistant and extensively drug-resistant gonorrhoea. For detailed 
background, evidence base and discussions, see the background review for 
the present 2020 European guideline for the diagno"&amp;"sis and treatment of 
gonorrhoea in adults (Unemo M, et al. Int J STD AIDS. 2020). ")</f>
        <v xml:space="preserve"> Gonorrhoea is a major public health concern globally. Increasing incidence 
and sporadic ceftriaxone-resistant cases, including treatment failures, are 
growing concerns. The 2020 European gonorrhoea guideline provides 
up-to-date evidence-based guidance regarding the diagnosis and treatment of 
gonorrhoea. The updates and recommendations emphasize significantly 
increasing gonorrhoea incidence; broad indications for increased testing 
with validated and quality-assured nucleic acid amplification tests and 
culture; dual antimicrobial therapy including high-dose ceftriaxone and 
azithromycin (ceftriaxone 1 g plus azithromycin 2 g) OR ceftriaxone 1 g 
monotherapy (ONLY in well-controlled settings, see guideline for details) 
for uncomplicated gonorrhoea when the antimicrobial susceptibility is 
unknown; recommendation of test of cure (TOC) in all gonorrhoea cases to 
ensure eradication of infection and identify resistance; and enhanced 
surveillance of treatment failures when recommended treatment regimens have 
been used. Improvements in access to appropriate testing, test performance, 
diagnostics, antimicrobial susceptibility surveillance and treatment, and 
follow-up of gonorrhoea patients are essential in controlling gonorrhoea 
and to mitigate the emergence and/or spread of ceftriaxone resistance and 
multidrug-resistant and extensively drug-resistant gonorrhoea. For detailed 
background, evidence base and discussions, see the background review for 
the present 2020 European guideline for the diagnosis and treatment of 
gonorrhoea in adults (Unemo M, et al. Int J STD AIDS. 2020). </v>
      </c>
      <c r="D40" s="8" t="s">
        <v>8</v>
      </c>
      <c r="E40" s="5"/>
      <c r="F40" s="5">
        <v>2020</v>
      </c>
      <c r="G40" s="5" t="s">
        <v>18</v>
      </c>
    </row>
    <row r="41" spans="1:7" ht="12.5">
      <c r="A41" s="9">
        <v>24400344</v>
      </c>
      <c r="B41" s="10" t="s">
        <v>103</v>
      </c>
      <c r="C41" s="7" t="str">
        <f ca="1">IFERROR(__xludf.DUMMYFUNCTION("IMPORTXML(""https://pubmed.ncbi.nlm.nih.gov/""&amp;A47,""/html/body/div[5]/main/div[2]/div/p/text()"")")," Gonorrhoea is a major public health concern globally. Of particularly 
grave concern is that resistance to the extended-spectrum cephalosporins 
has emerged during the most recent years. This guideline provides 
recommendations regarding the diagnosis an"&amp;"d treatment of gonorrhoea in 
Europe. Compared to the outdated 2009 European gonorrhoea guideline, this 
2012 European gonorrhoea guideline provides up-to-date guidance on, broader 
indications for testing and treatment of gonorrhoea;the introduction of 
"&amp;"dual antimicrobial therapy (ceftriaxone 500 mg and azithromycin 2 g) for 
uncomplicated gonorrhoea when the antimicrobial sensitivity is unknown; 
recommendation of test of cure in all gonorrhoea cases to ensure 
eradication of infection and identify emer"&amp;"ging resistance; and 
recommendations to identify, verify and report failures with recommended 
treatment regimens. Optimisations of the testing, diagnostics, 
antimicrobial treatment and follow-up of gonorrhoea patients are crucial in 
controlling the em"&amp;"ergent spread of cephalosporin-resistant and 
multidrug-resistant gonorrhoea. ")</f>
        <v xml:space="preserve"> 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 </v>
      </c>
      <c r="D41" s="11" t="s">
        <v>8</v>
      </c>
      <c r="E41" s="9"/>
      <c r="F41" s="9" t="s">
        <v>99</v>
      </c>
      <c r="G41" s="9" t="s">
        <v>28</v>
      </c>
    </row>
    <row r="42" spans="1:7" ht="12.5">
      <c r="A42" s="5">
        <v>29420119</v>
      </c>
      <c r="B42" s="6" t="s">
        <v>104</v>
      </c>
      <c r="C42" s="13" t="s">
        <v>105</v>
      </c>
      <c r="D42" s="5" t="s">
        <v>36</v>
      </c>
      <c r="E42" s="5" t="s">
        <v>37</v>
      </c>
      <c r="F42" s="5" t="s">
        <v>106</v>
      </c>
      <c r="G42" s="5" t="s">
        <v>73</v>
      </c>
    </row>
    <row r="43" spans="1:7" ht="12.5">
      <c r="A43" s="9">
        <v>23609458</v>
      </c>
      <c r="B43" s="10" t="s">
        <v>107</v>
      </c>
      <c r="C43" s="12" t="str">
        <f ca="1">IFERROR(__xludf.DUMMYFUNCTION("IMPORTXML(""https://pubmed.ncbi.nlm.nih.gov/""&amp;A49,""/html/body/div[5]/main/div[2]/div/p/text()"")")," Implant-associated infection is becoming more and more challenging to the 
healthcare industry worldwide due to increasing antibiotic resistance, 
transmission of antibiotic resistant bacteria between animals and humans, 
and the high cost of treating in"&amp;"fections. In this study, we disclose a new 
strategy that may be effective in preventing implant-associated infection 
based on the potential antimicrobial properties of platelet-rich plasma 
(PRP). Due to its well-studied properties for promoting healing"&amp;", PRP (a 
biological product) has been increasingly used for clinical applications 
including orthopaedic surgeries, periodontal and oral surgeries, 
maxillofacial surgeries, plastic surgeries, sports medicine, etc. PRP could 
be an advanced alternative t"&amp;"o conventional antibiotic treatments in 
preventing implant-associated infections. The use of PRP may be 
advantageous compared to conventional antibiotic treatments since PRP is 
less likely to induce antibiotic resistance and PRP's antimicrobial and 
he"&amp;"aling-promoting properties may have a synergistic effect on infection 
prevention. It is well known that pathogens and human cells are racing for 
implant surfaces, and PRP's properties of promoting healing could improve 
human cell attachment thereby red"&amp;"ucing the odds for infection. In addition, 
PRP is inherently biocompatible, and safe and free from the risk of 
transmissible diseases. For our study, we have selected several clinical 
bacterial strains that are commonly found in orthopaedic infections "&amp;"and 
examined whether PRP has in vitro antimicrobial properties against these 
bacteria. We have prepared PRP using a twice centrifugation approach which 
allows the same platelet concentration to be obtained for all samples. We 
have achieved consistent "&amp;"antimicrobial findings and found that PRP has 
strong in vitro antimicrobial properties against bacteria like 
methicillin-sensitive and methicillin-resistant Staphylococcus aureus, 
Group A Streptococcus, and Neisseria gonorrhoeae. Therefore, the use of "&amp;"PRP 
may have the potential to prevent infection and to reduce the need for 
costly post-operative treatment of implant-associated infections. ")</f>
        <v xml:space="preserve"> Implant-associated infection is becoming more and more challenging to the 
healthcare industry worldwide due to increasing antibiotic resistance, 
transmission of antibiotic resistant bacteria between animals and humans, 
and the high cost of treating infections. In this study, we disclose a new 
strategy that may be effective in preventing implant-associated infection 
based on the potential antimicrobial properties of platelet-rich plasma 
(PRP). Due to its well-studied properties for promoting healing, PRP (a 
biological product) has been increasingly used for clinical applications 
including orthopaedic surgeries, periodontal and oral surgeries, 
maxillofacial surgeries, plastic surgeries, sports medicine, etc. PRP could 
be an advanced alternative to conventional antibiotic treatments in 
preventing implant-associated infections. The use of PRP may be 
advantageous compared to conventional antibiotic treatments since PRP is 
less likely to induce antibiotic resistance and PRP's antimicrobial and 
healing-promoting properties may have a synergistic effect on infection 
prevention. It is well known that pathogens and human cells are racing for 
implant surfaces, and PRP's properties of promoting healing could improve 
human cell attachment thereby reducing the odds for infection. In addition, 
PRP is inherently biocompatible, and safe and free from the risk of 
transmissible diseases. For our study, we have selected several clinical 
bacterial strains that are commonly found in orthopaedic infections and 
examined whether PRP has in vitro antimicrobial properties against these 
bacteria. We have prepared PRP using a twice centrifugation approach which 
allows the same platelet concentration to be obtained for all samples. We 
have achieved consistent antimicrobial findings and found that PRP has 
strong in vitro antimicrobial properties against bacteria like 
methicillin-sensitive and methicillin-resistant Staphylococcus aureus, 
Group A Streptococcus, and Neisseria gonorrhoeae. Therefore, the use of PRP 
may have the potential to prevent infection and to reduce the need for 
costly post-operative treatment of implant-associated infections. </v>
      </c>
      <c r="D43" s="9" t="s">
        <v>20</v>
      </c>
      <c r="E43" s="9" t="s">
        <v>51</v>
      </c>
      <c r="F43" s="9" t="s">
        <v>108</v>
      </c>
      <c r="G43" s="9" t="s">
        <v>13</v>
      </c>
    </row>
    <row r="44" spans="1:7" ht="12.5">
      <c r="A44" s="5">
        <v>30900979</v>
      </c>
      <c r="B44" s="6" t="s">
        <v>109</v>
      </c>
      <c r="C44" s="12" t="str">
        <f ca="1">IFERROR(__xludf.DUMMYFUNCTION("IMPORTXML(""https://pubmed.ncbi.nlm.nih.gov/""&amp;A50,""/html/body/div[5]/main/div[2]/div/p/text()"")")," In 2016, we identified a ceftriaxone-resistant Neisseria gonorrhoeae 
isolate in China. The strain genotype was identical to the resistant clone 
FC428 that originated in Japan. Enhanced international collaborative 
surveillance programs are crucial to t"&amp;"rack the transmission of the 
ceftriaxone-resistant clones. ")</f>
        <v xml:space="preserve"> 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 </v>
      </c>
      <c r="D44" s="5" t="s">
        <v>26</v>
      </c>
      <c r="E44" s="5" t="s">
        <v>110</v>
      </c>
      <c r="F44" s="5" t="s">
        <v>111</v>
      </c>
      <c r="G44" s="5" t="s">
        <v>41</v>
      </c>
    </row>
    <row r="45" spans="1:7" ht="12.5">
      <c r="A45" s="9">
        <v>24203572</v>
      </c>
      <c r="B45" s="10" t="s">
        <v>112</v>
      </c>
      <c r="C45" s="13" t="s">
        <v>113</v>
      </c>
      <c r="D45" s="9" t="s">
        <v>36</v>
      </c>
      <c r="E45" s="9" t="s">
        <v>37</v>
      </c>
      <c r="F45" s="9" t="s">
        <v>114</v>
      </c>
      <c r="G45" s="9" t="s">
        <v>18</v>
      </c>
    </row>
    <row r="46" spans="1:7" ht="12.5">
      <c r="A46" s="5">
        <v>28134005</v>
      </c>
      <c r="B46" s="6" t="s">
        <v>115</v>
      </c>
      <c r="C46" s="7" t="str">
        <f ca="1">IFERROR(__xludf.DUMMYFUNCTION("IMPORTXML(""https://pubmed.ncbi.nlm.nih.gov/""&amp;A52,""/html/body/div[5]/main/div[2]/div/p/text()"")")," In Haiti, routine screening for Chlamydia trachomatis (CT), Neisseria 
gonorrhoeae (NG), and Trichomonas vaginalis (TV) among pregnant women is 
not conducted; yet these sexually transmitted infections (STIs) are 
associated with adverse birth and newbor"&amp;"n health outcomes. We aimed to 
assess the acceptability and feasibility of screening and the prevalence of 
STIs among pregnant women in Port-au-Prince, Haiti. Pregnant women of at 
least 18 years of age who attend Haitian Study Group for Kaposi's sarcom"&amp;"a 
and Opportunistic Infections (GHESKIO) clinics in Port-au-Prince, Haiti 
provided self-collected vaginal swab specimens. Laboratory testing was done 
with Xpert® CT/NG and Xpert® TV. The results of this study showed that of 
the 322 pregnant women who "&amp;"visited GHESKIO for their regular scheduled 
appointments, 300 (93.2%) consented for CT, NG, and TV testing. Of those, 
107 women (35.7%) tested positive for at least one STI. There were 42 
(14.7%) cases of CT, 8 (2.8%) NG, and 83 (29.0%) TV infections. "&amp;"Most 
infections were treated - 122 of 133 (91.7%). In summary, we found that it 
was highly acceptable and feasible to implement CT, NG, and TV screening 
among pregnant women in Port-au-Prince, Haiti. We found high prevalence of 
STIs among pregnant wom"&amp;"en, which suggest that STI screening in this 
population may be warranted. ")</f>
        <v xml:space="preserve"> In Haiti, routine screening for Chlamydia trachomatis (CT), Neisseria 
gonorrhoeae (NG), and Trichomonas vaginalis (TV) among pregnant women is 
not conducted; yet these sexually transmitted infections (STIs) are 
associated with adverse birth and newborn health outcomes. We aimed to 
assess the acceptability and feasibility of screening and the prevalence of 
STIs among pregnant women in Port-au-Prince, Haiti. Pregnant women of at 
least 18 years of age who attend Haitian Study Group for Kaposi's sarcoma 
and Opportunistic Infections (GHESKIO) clinics in Port-au-Prince, Haiti 
provided self-collected vaginal swab specimens. Laboratory testing was done 
with Xpert® CT/NG and Xpert® TV. The results of this study showed that of 
the 322 pregnant women who visited GHESKIO for their regular scheduled 
appointments, 300 (93.2%) consented for CT, NG, and TV testing. Of those, 
107 women (35.7%) tested positive for at least one STI. There were 42 
(14.7%) cases of CT, 8 (2.8%) NG, and 83 (29.0%) TV infections. Most 
infections were treated - 122 of 133 (91.7%). In summary, we found that it 
was highly acceptable and feasible to implement CT, NG, and TV screening 
among pregnant women in Port-au-Prince, Haiti. We found high prevalence of 
STIs among pregnant women, which suggest that STI screening in this 
population may be warranted. </v>
      </c>
      <c r="D46" s="8" t="s">
        <v>8</v>
      </c>
      <c r="E46" s="5"/>
      <c r="F46" s="5" t="s">
        <v>72</v>
      </c>
      <c r="G46" s="5" t="s">
        <v>52</v>
      </c>
    </row>
    <row r="47" spans="1:7" ht="12.5">
      <c r="A47" s="9">
        <v>31407661</v>
      </c>
      <c r="B47" s="10" t="s">
        <v>116</v>
      </c>
      <c r="C47" s="12" t="str">
        <f ca="1">IFERROR(__xludf.DUMMYFUNCTION("IMPORTXML(""https://pubmed.ncbi.nlm.nih.gov/""&amp;A53,""/html/body/div[5]/main/div[2]/div/p/text()"")")," In July 2018, a case of Neisseria gonorrhoeae associated with ceftriaxone 
treatment failure was identified in Alberta, Canada. We identified the 
isolate and nucleic acid amplification testing (NAAT) specimen as the 
ceftriaxone-resistant strain multilo"&amp;"cus sequence type 1903/NG-MAST 
3435/NG-STAR 233, originally identified in Japan (FC428), with the same 
penA 60.001 mosaic allele and genetic resistance determinants. Core 
single-nucleotide variant (SNV) analysis identified 13 SNVs between this 
isolate"&amp;" and FC428. Culture-independent surveillance by PCR for the A311V 
mutation in the penA allele and N. gonorrhoeae multiantigen sequence typing 
directly from NAAT transport media positive for N. gonorrhoeae by NAAT did 
not detect spread of the strain. We"&amp;" identified multiple sequence types not 
previously detected in Alberta by routine surveillance. This case 
demonstrates the benefit of using culture-independent methods to enhance 
detection, public health investigations, and surveillance to address this"&amp;" 
global threat. ")</f>
        <v xml:space="preserve"> 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 </v>
      </c>
      <c r="D47" s="9" t="s">
        <v>26</v>
      </c>
      <c r="E47" s="9"/>
      <c r="F47" s="9" t="s">
        <v>117</v>
      </c>
      <c r="G47" s="9" t="s">
        <v>118</v>
      </c>
    </row>
    <row r="48" spans="1:7" ht="12.5">
      <c r="A48" s="5">
        <v>25532741</v>
      </c>
      <c r="B48" s="6" t="s">
        <v>119</v>
      </c>
      <c r="C48" s="12" t="str">
        <f ca="1">IFERROR(__xludf.DUMMYFUNCTION("IMPORTXML(""https://pubmed.ncbi.nlm.nih.gov/""&amp;A54,""/html/body/div[5]/main/div[2]/div/p/text()"")")," In response to antimicrobial resistance of Neisseria gonorrhoeae to 
last-resort extended-spectrum cephalosporins, combination therapy of 
azithromycin+ceftriaxone is now recommended. Dual therapy can be effective 
to treat monoresistant strains as well "&amp;"as multidrug-resistant strains, 
preferably employing the effect of in vitro synergy. As reports on in vitro 
synergy of azithromycin+ceftriaxone in N. gonorrhoeae are conflicting, in 
this study an evaluation of this combination was performed using a 
cr"&amp;"oss-wise Etest method and agar dilution. Synergy was defined as a 
fractional inhibitory concentration index (FICI) of ≤0.5. To identify other 
dual treatment options for gonorrhoea, in vitro synergy was evaluated for 
65 dual antimicrobial combinations u"&amp;"sing Etest. Azithromycin, cefixime, 
ceftriaxone, colistin, ertapenem, fosfomycin, gentamicin, minocycline, 
moxifloxacin, rifampicin, spectinomycin and tigecycline were screened for 
synergy in all possible combinations. No synergy or antagonism was foun"&amp;"d 
for any of the 65 combinations. The geometric mean FICI ranged from 0.82 to 
2.00. The mean FICI of azithromycin+ceftriaxone was 1.18 (Etest) and 0.55 
(agar dilution). The difference between both methods did not result in a 
difference in interpretati"&amp;"on of synergy. Ceftriaxone-resistant strain F89 
was tested in all combinations and no synergy was found for any of them. 
Most importantly, the ceftriaxone minimum inhibitory concentration of F89 
was not decreased below the breakpoint with any concentra"&amp;"tion of 
azithromycin. ")</f>
        <v xml:space="preserve"> In response to antimicrobial resistance of Neisseria gonorrhoeae to 
last-resort extended-spectrum cephalosporins, combination therapy of 
azithromycin+ceftriaxone is now recommended. Dual therapy can be effective 
to treat monoresistant strains as well as multidrug-resistant strains, 
preferably employing the effect of in vitro synergy. As reports on in vitro 
synergy of azithromycin+ceftriaxone in N. gonorrhoeae are conflicting, in 
this study an evaluation of this combination was performed using a 
cross-wise Etest method and agar dilution. Synergy was defined as a 
fractional inhibitory concentration index (FICI) of ≤0.5. To identify other 
dual treatment options for gonorrhoea, in vitro synergy was evaluated for 
65 dual antimicrobial combinations using Etest. Azithromycin, cefixime, 
ceftriaxone, colistin, ertapenem, fosfomycin, gentamicin, minocycline, 
moxifloxacin, rifampicin, spectinomycin and tigecycline were screened for 
synergy in all possible combinations. No synergy or antagonism was found 
for any of the 65 combinations. The geometric mean FICI ranged from 0.82 to 
2.00. The mean FICI of azithromycin+ceftriaxone was 1.18 (Etest) and 0.55 
(agar dilution). The difference between both methods did not result in a 
difference in interpretation of synergy. Ceftriaxone-resistant strain F89 
was tested in all combinations and no synergy was found for any of them. 
Most importantly, the ceftriaxone minimum inhibitory concentration of F89 
was not decreased below the breakpoint with any concentration of 
azithromycin. </v>
      </c>
      <c r="D48" s="5" t="s">
        <v>20</v>
      </c>
      <c r="E48" s="5" t="s">
        <v>33</v>
      </c>
      <c r="F48" s="5" t="s">
        <v>120</v>
      </c>
      <c r="G48" s="5" t="s">
        <v>118</v>
      </c>
    </row>
    <row r="49" spans="1:7" ht="12.5">
      <c r="A49" s="9">
        <v>30789143</v>
      </c>
      <c r="B49" s="10" t="s">
        <v>121</v>
      </c>
      <c r="C49" s="12" t="str">
        <f ca="1">IFERROR(__xludf.DUMMYFUNCTION("IMPORTXML(""https://pubmed.ncbi.nlm.nih.gov/""&amp;A55,""/html/body/div[5]/main/div[2]/div/p/text()"")")," In South Korea, surveillance of antimicrobial drug resistance in Neisseria 
gonorrhoeae is extremely limited. We describe the emergence and subsequent 
national spread of N. gonorrhoeae strains with mosaic penA alleles 
associated with decreased suscepti"&amp;"bility and resistance to 
extended-spectrum cephalosporins. From 2012 through 2017, the proportion of 
mosaic penA alleles in gonococcal-positive nucleic acid amplification test 
(NAAT) specimens across South Korea increased from 1.1% to 23.9%. 
Gonococca"&amp;"l strains with mosaic penA alleles emerged in the international 
hubs of Seoul in Gyeonggi Province and Busan in South Gyeongsang Province 
and subsequently spread across South Korea. Most common was mosaic 
penA-10.001 (n = 572 isolates; 94.7%), which is"&amp;" associated with cefixime 
resistance. We also identified mosaic penA-34.001 and penA-60.001, both of 
which are associated with multidrug-resistant gonococcal strains and spread 
of cefixime and ceftriaxone resistance. Implementation of molecular 
resist"&amp;"ance prediction from N. gonorrhoeae-positive nucleic acid 
amplification test specimens is imperative in South Korea and 
internationally. ")</f>
        <v xml:space="preserve"> 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 </v>
      </c>
      <c r="D49" s="9" t="s">
        <v>26</v>
      </c>
      <c r="E49" s="9"/>
      <c r="F49" s="9" t="s">
        <v>122</v>
      </c>
      <c r="G49" s="9" t="s">
        <v>13</v>
      </c>
    </row>
    <row r="50" spans="1:7" ht="12.5">
      <c r="A50" s="5">
        <v>35139073</v>
      </c>
      <c r="B50" s="6" t="s">
        <v>123</v>
      </c>
      <c r="C50" s="7" t="str">
        <f ca="1">IFERROR(__xludf.DUMMYFUNCTION("IMPORTXML(""https://pubmed.ncbi.nlm.nih.gov/""&amp;A56,""/html/body/div[5]/main/div[2]/div/p/text()"")")," In the absence of point-of-care gonorrhea diagnostics that report 
antibiotic susceptibility, gonorrhea treatment is empiric and determined by 
standardized guidelines. These guidelines are informed by estimates of 
resistance prevalence from national su"&amp;"rveillance systems. We examined 
whether guidelines informed by local, rather than national, surveillance 
data could reduce the incidence of gonorrhea and increase the effective 
lifespan of antibiotics used in treatment guidelines. We used a 
transmissi"&amp;"on dynamic model of gonorrhea among men who have sex with men 
(MSM) in 16 U.S. metropolitan areas to determine whether spatially adaptive 
treatment guidelines based on local estimates of resistance prevalence can 
extend the effective lifespan of hypoth"&amp;"etical antibiotics. The rate of 
gonorrhea cases in these metropolitan areas was 5,548 cases per 100,000 MSM 
in 2017. Under the current strategy of updating the treatment guideline 
when the prevalence of resistance exceeds 5%, we showed that spatially 
"&amp;"adaptive guidelines could reduce the annual rate of gonorrhea cases by 200 
cases (95% uncertainty interval: 169, 232) per 100,000 MSM population while 
extending the use of a first-line antibiotic by 0.75 (0.55, 0.95) years. 
One potential strategy to re"&amp;"duce the incidence of gonorrhea while extending 
the effective lifespan of antibiotics is to inform treatment guidelines 
based on local, rather than national, resistance prevalence. ")</f>
        <v xml:space="preserve"> In the absence of point-of-care gonorrhea diagnostics that report 
antibiotic susceptibility, gonorrhea treatment is empiric and determined by 
standardized guidelines. These guidelines are informed by estimates of 
resistance prevalence from national surveillance systems. We examined 
whether guidelines informed by local, rather than national, surveillance 
data could reduce the incidence of gonorrhea and increase the effective 
lifespan of antibiotics used in treatment guidelines. We used a 
transmission dynamic model of gonorrhea among men who have sex with men 
(MSM) in 16 U.S. metropolitan areas to determine whether spatially adaptive 
treatment guidelines based on local estimates of resistance prevalence can 
extend the effective lifespan of hypothetical antibiotics. The rate of 
gonorrhea cases in these metropolitan areas was 5,548 cases per 100,000 MSM 
in 2017. Under the current strategy of updating the treatment guideline 
when the prevalence of resistance exceeds 5%, we showed that spatially 
adaptive guidelines could reduce the annual rate of gonorrhea cases by 200 
cases (95% uncertainty interval: 169, 232) per 100,000 MSM population while 
extending the use of a first-line antibiotic by 0.75 (0.55, 0.95) years. 
One potential strategy to reduce the incidence of gonorrhea while extending 
the effective lifespan of antibiotics is to inform treatment guidelines 
based on local, rather than national, resistance prevalence. </v>
      </c>
      <c r="D50" s="8" t="s">
        <v>8</v>
      </c>
      <c r="E50" s="5"/>
      <c r="F50" s="5" t="s">
        <v>124</v>
      </c>
      <c r="G50" s="5" t="s">
        <v>118</v>
      </c>
    </row>
    <row r="51" spans="1:7" ht="12.5">
      <c r="A51" s="9">
        <v>25673666</v>
      </c>
      <c r="B51" s="10" t="s">
        <v>125</v>
      </c>
      <c r="C51" s="12" t="str">
        <f ca="1">IFERROR(__xludf.DUMMYFUNCTION("IMPORTXML(""https://pubmed.ncbi.nlm.nih.gov/""&amp;A57,""/html/body/div[5]/main/div[2]/div/p/text()"")")," In the search of new antimicrobial agents against Neisseria gonorrhoeae, 
the bacteriocins-producing probiotic lactobacilli deserve special 
attention. The inhibitory effects of biosubstances such as organic acids, 
hydrogen peroxide and each bacteriocin"&amp;"-like inhibitory substance (BLIS) L23 
and L60 on the growth of different gonococcal strains were investigated. 
Different non-treated and treated cell-free supernatants of two probiotic 
lactobacilli containing these metabolites were used. The aims of th"&amp;"is work 
were (i) to evaluate the antimicrobial activity of the biosubstances 
produced by two probiotic lactobacilli, estimating the proportion in which 
each of them is responsible for the inhibitory effect, (ii) to define their 
minimum inhibitory conc"&amp;"entrations (MICs) and, (iii) to determine the 
potential interactions between these biosubstances against N. gonorrhoeae. 
The main antimicrobial metabolites were the BLIS-es L23 and L60 in 
comparison with other biosubstances. Proportionally, their contr"&amp;"ibutions to 
the inhibition on the gonococcal growth were 87.28% and 80.66%, 
respectively. The MIC values of bacteriocins were promising since these 
substances, when diluted, showed considerable inhibitory activity for all 
gonococci. In the interaction"&amp;" between bacteriocins, 100% of synergism was 
found on the gonococcal growth. In summary, this study indicates that both 
L23 and L60 could potentially serve to design new bioproducts against N. 
gonorrhoeae. ")</f>
        <v xml:space="preserve"> In the search of new antimicrobial agents against Neisseria gonorrhoeae, 
the bacteriocins-producing probiotic lactobacilli deserve special 
attention. The inhibitory effects of biosubstances such as organic acids, 
hydrogen peroxide and each bacteriocin-like inhibitory substance (BLIS) L23 
and L60 on the growth of different gonococcal strains were investigated. 
Different non-treated and treated cell-free supernatants of two probiotic 
lactobacilli containing these metabolites were used. The aims of this work 
were (i) to evaluate the antimicrobial activity of the biosubstances 
produced by two probiotic lactobacilli, estimating the proportion in which 
each of them is responsible for the inhibitory effect, (ii) to define their 
minimum inhibitory concentrations (MICs) and, (iii) to determine the 
potential interactions between these biosubstances against N. gonorrhoeae. 
The main antimicrobial metabolites were the BLIS-es L23 and L60 in 
comparison with other biosubstances. Proportionally, their contributions to 
the inhibition on the gonococcal growth were 87.28% and 80.66%, 
respectively. The MIC values of bacteriocins were promising since these 
substances, when diluted, showed considerable inhibitory activity for all 
gonococci. In the interaction between bacteriocins, 100% of synergism was 
found on the gonococcal growth. In summary, this study indicates that both 
L23 and L60 could potentially serve to design new bioproducts against N. 
gonorrhoeae. </v>
      </c>
      <c r="D51" s="9" t="s">
        <v>20</v>
      </c>
      <c r="E51" s="9" t="s">
        <v>51</v>
      </c>
      <c r="F51" s="9" t="s">
        <v>126</v>
      </c>
      <c r="G51" s="9" t="s">
        <v>28</v>
      </c>
    </row>
    <row r="52" spans="1:7" ht="12.5">
      <c r="A52" s="5">
        <v>22819604</v>
      </c>
      <c r="B52" s="6" t="s">
        <v>127</v>
      </c>
      <c r="C52" s="12" t="str">
        <f ca="1">IFERROR(__xludf.DUMMYFUNCTION("IMPORTXML(""https://pubmed.ncbi.nlm.nih.gov/""&amp;A58,""/html/body/div[5]/main/div[2]/div/p/text()"")")," JNJ-Q2 is a broad-spectrum fluoroquinolone with activity against 
Gram-positive and -negative pathogens. The in vitro activity of JNJ-Q2 was 
evaluated when tested against Neisseria gonorrhoeae isolates, including 31 
ciprofloxacin-resistant strains with"&amp;" documented mutations in the quinolone 
resistance determining region. MIC values were determined using reference 
agar dilution methods using ciprofloxacin, penicillin, ceftriaxone, 
tetracycline, and azithromycin as comparators. All isolates were inhibi"&amp;"ted 
by ≤0.25 μg/mL of JNJ-Q2 (range, 0.004-0.25 μg/mL; MIC(50/90), 0.03/0.25 
μg/mL) which was 8-fold (MIC(50)) and 32-fold more potent (MIC(90)) 
compared to ciprofloxacin. Few strains were susceptible to penicillin 
(3.0%) and tetracycline (6.1%), and "&amp;"with the use of the European Committee 
on Antimicrobial Susceptibility Testing interpretive criteria, 13.6% were 
resistant to azithromycin. All strains were susceptible to ceftriaxone, the 
most potent agent (MIC(90), 0.06 μg/mL) followed by JNJ-Q2 (MIC"&amp;"(90), 0.25 
μg/mL). JNJ-Q2 appears to be a potent fluoroquinolone when tested against 
contemporary multidrug-resistant N. gonorrhoeae. ")</f>
        <v xml:space="preserve"> 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 </v>
      </c>
      <c r="D52" s="5" t="s">
        <v>20</v>
      </c>
      <c r="E52" s="5" t="s">
        <v>23</v>
      </c>
      <c r="F52" s="5" t="s">
        <v>128</v>
      </c>
      <c r="G52" s="5" t="s">
        <v>41</v>
      </c>
    </row>
    <row r="53" spans="1:7" ht="12.5">
      <c r="A53" s="9">
        <v>23586346</v>
      </c>
      <c r="B53" s="10" t="s">
        <v>129</v>
      </c>
      <c r="C53" s="7" t="str">
        <f ca="1">IFERROR(__xludf.DUMMYFUNCTION("IMPORTXML(""https://pubmed.ncbi.nlm.nih.gov/""&amp;A59,""/html/body/div[5]/main/div[2]/div/p/text()"")")," Male urethritis is a common disease for urologists, with the most common 
pathogens being, Chlamydia trachomatis and Neisseria gonorrhoeae. When the 
tests fail to detect these pathogens, the presented urethritis is called 
non-chlamydial non-gonococcal "&amp;"urethritis. Mycoplasma genitalium is one of 
the pathogens for non-chlamydial non-gonococcal urethritis. The test for 
detecting M. genitalium, which is commercially available in Japan, is not 
accepted by the Japanese insurance system now. The detection "&amp;"rate of M. 
genitalium from patients with non-gonococcal urethritis is 10-20% in Japan. 
Antimicrobial susceptibility testing for M. genitalium showed that 
macrolide has the strongest activity and the minimum inhibitory 
concentrations of tetracyclines w"&amp;"ere not substantially lower. Some kinds of 
fluoroquinolones, such as sitafloxacin and moxifloxacin, have stronger 
activities against M. genitalium. For non-gonococcal urethritis, macrolides 
and tetracycline are recommended in some guidelines. In clinic"&amp;"al studies, 
tetracyclines are less effective against M. genitalium than azithromycin, 
and azithromycin regimens including 1 g stat or 2 g stat are now 
recommended for urethritis with M. genitalium. However, macrolide-resistant 
M. genitalium strains ha"&amp;"ve recently emerged and are spreading worldwide. 
This macrolide-resistance is closely related to mutations on the 23S rRNA 
gene. Sitafloxacin and moxifloxacin have shown good efficacies for M. 
genitalium in some clinical studies. If the azithromycin re"&amp;"gimens fail, we 
must consider the use of fluoroquinolones, such as sitafloxacin, in Japan. 
The most important issues include the acceptance of M. genitalium 
examinations by the national insurance system and the individual treatment 
of C. trachomatis a"&amp;"nd M. genitalium in the not-too-distant future. ")</f>
        <v xml:space="preserve"> Male urethritis is a common disease for urologists, with the most common 
pathogens being, Chlamydia trachomatis and Neisseria gonorrhoeae. When the 
tests fail to detect these pathogens, the presented urethritis is called 
non-chlamydial non-gonococcal urethritis. Mycoplasma genitalium is one of 
the pathogens for non-chlamydial non-gonococcal urethritis. The test for 
detecting M. genitalium, which is commercially available in Japan, is not 
accepted by the Japanese insurance system now. The detection rate of M. 
genitalium from patients with non-gonococcal urethritis is 10-20% in Japan. 
Antimicrobial susceptibility testing for M. genitalium showed that 
macrolide has the strongest activity and the minimum inhibitory 
concentrations of tetracyclines were not substantially lower. Some kinds of 
fluoroquinolones, such as sitafloxacin and moxifloxacin, have stronger 
activities against M. genitalium. For non-gonococcal urethritis, macrolides 
and tetracycline are recommended in some guidelines. In clinical studies, 
tetracyclines are less effective against M. genitalium than azithromycin, 
and azithromycin regimens including 1 g stat or 2 g stat are now 
recommended for urethritis with M. genitalium. However, macrolide-resistant 
M. genitalium strains have recently emerged and are spreading worldwide. 
This macrolide-resistance is closely related to mutations on the 23S rRNA 
gene. Sitafloxacin and moxifloxacin have shown good efficacies for M. 
genitalium in some clinical studies. If the azithromycin regimens fail, we 
must consider the use of fluoroquinolones, such as sitafloxacin, in Japan. 
The most important issues include the acceptance of M. genitalium 
examinations by the national insurance system and the individual treatment 
of C. trachomatis and M. genitalium in the not-too-distant future. </v>
      </c>
      <c r="D53" s="11" t="s">
        <v>8</v>
      </c>
      <c r="E53" s="9"/>
      <c r="F53" s="9" t="s">
        <v>130</v>
      </c>
      <c r="G53" s="9" t="s">
        <v>118</v>
      </c>
    </row>
    <row r="54" spans="1:7" ht="12.5">
      <c r="A54" s="5">
        <v>34694413</v>
      </c>
      <c r="B54" s="6" t="s">
        <v>131</v>
      </c>
      <c r="C54" s="12" t="str">
        <f ca="1">IFERROR(__xludf.DUMMYFUNCTION("IMPORTXML(""https://pubmed.ncbi.nlm.nih.gov/""&amp;A60,""/html/body/div[5]/main/div[2]/div/p/text()"")")," Neisseria gonorrhoeae (GC) is the agent of one of the most common 
bacterial sexually transmitted infections worldwide. The possible 
development of 'untreatable' infections points out the need for 
antibiotic-sparing methods to reduce the number of gono"&amp;"coccal infections. 
In this context, fatty acids are interesting candidates as next-generation 
antibacterial agents. The aim of this study was to investigate the 
bactericidal effects of selected fatty acids on GC viability, as well as to 
observe their "&amp;"biological effects by means of transmission electron 
microscopy. The cytotoxicity of these compounds on human cervical cells 
(HeLa), chosen as a model of genital mucosa, was assessed as well. Lauric, 
myristic, and palmitic acid displayed high killing a"&amp;"ctivity against GC in 
concentrations ranging between 100 μM and 25 μM, whereas the antimicrobial 
effect of oleic and butyric acids was present in concentrations between 1 
mM and 0.25 mM. Modifications induced by fatty acids on the GC cell 
included the"&amp;" disorganization of the cytoplasmic structure, the distortion 
of pili/fimbriae, and the separation of the inner and outer membrane 
layers. For concentrations active against GC, fatty acids were not toxic 
for cervical cells. Our data can help in promoti"&amp;"ng innovative 
antibiotic-free compounds for the treatment of GC infections. ")</f>
        <v xml:space="preserve"> 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 </v>
      </c>
      <c r="D54" s="5" t="s">
        <v>20</v>
      </c>
      <c r="E54" s="5" t="s">
        <v>51</v>
      </c>
      <c r="F54" s="5" t="s">
        <v>132</v>
      </c>
      <c r="G54" s="5" t="s">
        <v>118</v>
      </c>
    </row>
    <row r="55" spans="1:7" ht="12.5">
      <c r="A55" s="9">
        <v>24594737</v>
      </c>
      <c r="B55" s="10" t="s">
        <v>133</v>
      </c>
      <c r="C55" s="12" t="str">
        <f ca="1">IFERROR(__xludf.DUMMYFUNCTION("IMPORTXML(""https://pubmed.ncbi.nlm.nih.gov/""&amp;A61,""/html/body/div[5]/main/div[2]/div/p/text()"")")," Neisseria gonorrhoeae (N. gonorrhoeae) outer membrane protein reduction 
modifiable protein (Rmp) has strong immunogenicity. However, anti-Rmp 
antibodies block rather than preserve the antibacterial effects of 
protective antibodies, which hampers the d"&amp;"evelopment of vaccines for 
gonococcal infections. We herein constructed an Rmp deletion mutant strain 
of N. gonorrhoeae by gene homologous recombination. The 261-460 nucleotide 
residues of Rmp gene amplified from N. gonorrhoeae WHO-A strain were 
repla"&amp;"ced with a kanamycin-resistant Kan gene amplified from pET-28a. The 
resultant hybridized DNA was transformed into N. gonorrhoeae WHO-A strain. 
PCR was used to screen the colonies in which wild-type Rmp gene was 
replaced with a mutant gene fragment. Wes"&amp;"tern blotting revealed that the 
Rmp deletion mutant strain did not express Rmp protein. Rmp deletion did 
not alter the morphological and Gram staining properties of the mutant 
strain that grew slightly more slowly than the wild-type one. Rmp gene 
muta"&amp;"ted stably throughout 25 generations of passage. Antibody-mediated 
complement-dependent cytotoxicity assay indicated that the antibodies 
induced by the mutant strain had evidently higher bactericidal activities 
than those induced by the wild-type strai"&amp;"n. Further modification of the Rmp 
deletion mutant strain is still required in the development of novel live 
attenuated vaccines for gonorrhea by Opa genes deletion or screening of 
phenotypic variant strains that do not express Opa proteins. ")</f>
        <v xml:space="preserve"> 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 </v>
      </c>
      <c r="D55" s="9" t="s">
        <v>20</v>
      </c>
      <c r="E55" s="9" t="s">
        <v>93</v>
      </c>
      <c r="F55" s="9" t="s">
        <v>134</v>
      </c>
      <c r="G55" s="9" t="s">
        <v>41</v>
      </c>
    </row>
    <row r="56" spans="1:7" ht="12.5">
      <c r="A56" s="5">
        <v>26602615</v>
      </c>
      <c r="B56" s="6" t="s">
        <v>135</v>
      </c>
      <c r="C56" s="7" t="str">
        <f ca="1">IFERROR(__xludf.DUMMYFUNCTION("IMPORTXML(""https://pubmed.ncbi.nlm.nih.gov/""&amp;A62,""/html/body/div[5]/main/div[2]/div/p/text()"")")," Neisseria gonorrhoeae and Chlamydia trachomatis are well-documented 
urethral pathogens, and the literature supporting Mycoplasma genitalium as 
an etiology of urethritis is growing. Trichomonas vaginalis and viral 
pathogens (herpes simplex virus types "&amp;"1 and 2 and adenovirus) can cause 
urethritis, particularly in specific subpopulations. New data are emerging 
regarding the potential role of bacterial vaginosis-associated bacteria in 
urethritis, although results are inconsistent regarding the pathogen"&amp;"ic role 
of Ureaplasma urealyticum in men. Mycoplasma hominis and Ureaplasma parvum 
do not appear to be pathogens. Men with suspected urethritis should undergo 
evaluation to confirm urethral inflammation and etiologic cause. Although 
nucleic acid ampli"&amp;"fication testing would detect N. gonorrhoeae and C. 
trachomatis (or T. vaginalis if utilized), there is no US Food and Drug 
Administration-approved clinical test for M. genitalium available in the 
United States at this time. The varied etiologies of ur"&amp;"ethritis and lack of 
diagnostic options for some organisms present treatment challenges in the 
clinical setting. ")</f>
        <v xml:space="preserve"> Neisseria gonorrhoeae and Chlamydia trachomatis are well-documented 
urethral pathogens, and the literature supporting Mycoplasma genitalium as 
an etiology of urethritis is growing. Trichomonas vaginalis and viral 
pathogens (herpes simplex virus types 1 and 2 and adenovirus) can cause 
urethritis, particularly in specific subpopulations. New data are emerging 
regarding the potential role of bacterial vaginosis-associated bacteria in 
urethritis, although results are inconsistent regarding the pathogenic role 
of Ureaplasma urealyticum in men. Mycoplasma hominis and Ureaplasma parvum 
do not appear to be pathogens. Men with suspected urethritis should undergo 
evaluation to confirm urethral inflammation and etiologic cause. Although 
nucleic acid amplification testing would detect N. gonorrhoeae and C. 
trachomatis (or T. vaginalis if utilized), there is no US Food and Drug 
Administration-approved clinical test for M. genitalium available in the 
United States at this time. The varied etiologies of urethritis and lack of 
diagnostic options for some organisms present treatment challenges in the 
clinical setting. </v>
      </c>
      <c r="D56" s="8" t="s">
        <v>8</v>
      </c>
      <c r="E56" s="5"/>
      <c r="F56" s="5" t="s">
        <v>136</v>
      </c>
      <c r="G56" s="5" t="s">
        <v>52</v>
      </c>
    </row>
    <row r="57" spans="1:7" ht="12.5">
      <c r="A57" s="9">
        <v>31600300</v>
      </c>
      <c r="B57" s="10" t="s">
        <v>137</v>
      </c>
      <c r="C57" s="12" t="str">
        <f ca="1">IFERROR(__xludf.DUMMYFUNCTION("IMPORTXML(""https://pubmed.ncbi.nlm.nih.gov/""&amp;A63,""/html/body/div[5]/main/div[2]/div/p/text()"")")," Neisseria gonorrhoeae antimicrobial resistance (AMR) surveillance is 
essential for tracking the emergence and spread of AMR strains in local, 
national and international populations. This is crucial for developing or 
refining treatment guidelines. N. g"&amp;"onorrhoeae multiantigen sequence typing 
(NG-MAST) is beneficial for describing the molecular epidemiology of 
gonococci at national and international levels. Elucidation of AMR 
determinants to β-lactam drugs, is a means of monitoring the development of "&amp;"
resistance. In Ghana, little is known about the current gonococcal AMR 
prevalence and no characterization of gonococcal isolates has been 
previously performed. In this study, gonococcal isolates (n = 44) collected 
from five health facilities in Ghana "&amp;"from 2012 to 2015, were examined using 
AMR testing, NG-MAST and sequencing of penA. High rates of resistance were 
identified to tetracycline (100%), benzylpenicillin (90.9%), and 
ciprofloxacin (81.8%). One isolate had a high cefixime MIC (0.75 μg/ml). "&amp;"
Twenty-eight NG-MAST sequence types (STs) were identified, seventeen of 
which were novel. The isolate with the high cefixime MIC contained a mosaic 
penA-34 allele and belonged to NG-MAST ST1407, an internationally spreading 
multidrug-resistant clone t"&amp;"hat has accounted for most cefixime resistance 
in many countries. In conclusion, AMR testing, NG-MAST, and sequencing of 
the AMR determinant penA, revealed high rates of resistance to 
tetracycline, benzylpenicillin, and ciprofloxacin; as well as a high"&amp;"ly 
diverse population of N. gonorrhoeae in Ghana. It is imperative to continue 
with enhanced AMR surveillance and to understand the molecular epidemiology 
of gonococcal strains circulating in Ghana and other African countries. ")</f>
        <v xml:space="preserve"> 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 </v>
      </c>
      <c r="D57" s="9" t="s">
        <v>26</v>
      </c>
      <c r="E57" s="9"/>
      <c r="F57" s="9" t="s">
        <v>138</v>
      </c>
      <c r="G57" s="9" t="s">
        <v>118</v>
      </c>
    </row>
    <row r="58" spans="1:7" ht="12.5">
      <c r="A58" s="5">
        <v>26630657</v>
      </c>
      <c r="B58" s="6" t="s">
        <v>139</v>
      </c>
      <c r="C58" s="12" t="str">
        <f ca="1">IFERROR(__xludf.DUMMYFUNCTION("IMPORTXML(""https://pubmed.ncbi.nlm.nih.gov/""&amp;A64,""/html/body/div[5]/main/div[2]/div/p/text()"")")," Neisseria gonorrhoeae deploys a novel immune evasion strategy wherein the 
lacto-N-neotetraose (LNnT) structure of lipooligosaccharide (LOS) is capped 
by the bacterial sialyltransferase, using host cytidine-5'-monophosphate 
(CMP)-activated forms of the"&amp;" nine-carbon nonulosonate (NulO) sugar 
N-acetyl-neuraminic acid (Neu5Ac), a sialic acid (Sia) abundant in humans. 
This allows evasion of complement-mediated killing by recruiting factor H 
(FH), an inhibitor of the alternative complement pathway, and by"&amp;" limiting 
classical pathway activation (""serum-resistance""). We utilized CMP salts of 
six additional natural or synthetic NulOs, Neu5Gc, Neu5Gc8Me, Neu5Ac9Ac, 
Neu5Ac9Az, legionaminic acid (Leg5Ac7Ac) and pseudaminic acid (Pse5Ac7Ac), 
to define struc"&amp;"tural requirements of Sia-mediated serum-resistance. While 
all NulOs except Pse5Ac7Ac were incorporated into the LNnT-LOS, only Neu5Gc 
incorporation yielded high-level serum-resistance and FH binding that was 
comparable to Neu5Ac, whereas Neu5Ac9Az and"&amp;" Leg5Ac7Ac incorporation left 
bacteria fully serum-sensitive and did not enhance FH binding. Neu5Ac9Ac 
and Neu5Gc8Me rendered bacteria resistant only to low serum concentrations. 
While serum-resistance mediated by Neu5Ac was associated with classical 
"&amp;"pathway inhibition (decreased IgG binding and C4 deposition), Leg5Ac7Ac and 
Neu5Ac9Az incorporation did not inhibit the classical pathway. Remarkably, 
CMP-Neu5Ac9Az and CMP-Leg5Ac7Ac each prevented serum-resistance despite a 
100-fold molar excess of CM"&amp;"P-Neu5Ac in growth media. The concomitant 
presence of Leg5Ac7Ac and Neu5Ac on LOS resulted in uninhibited classical 
pathway activation. Surprisingly, despite near-maximal FH binding in this 
instance, the alternative pathway was not regulated and factor"&amp;" Bb remained 
associated with bacteria. Intravaginal administration of CMP-Leg5Ac7Ac to 
BALB/c mice infected with gonorrhea (including a multidrug-resistant 
isolate) reduced clearance times and infection burden. Bacteria recovered 
from CMP-Leg5Ac7Ac-tr"&amp;"eated mice were sensitive to human complement ex vivo, 
simulating in vitro findings. These data reveal critical roles for the Sia 
exocyclic side-chain in gonococcal serum-resistance. Such CMP-NulO analogs 
may provide a novel therapeutic strategy agains"&amp;"t the global threat of 
multidrug-resistant gonorrhea. ")</f>
        <v xml:space="preserve"> 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 </v>
      </c>
      <c r="D58" s="5" t="s">
        <v>20</v>
      </c>
      <c r="E58" s="5" t="s">
        <v>23</v>
      </c>
      <c r="F58" s="5" t="s">
        <v>140</v>
      </c>
      <c r="G58" s="5" t="s">
        <v>118</v>
      </c>
    </row>
    <row r="59" spans="1:7" ht="12.5">
      <c r="A59" s="9">
        <v>31972174</v>
      </c>
      <c r="B59" s="10" t="s">
        <v>141</v>
      </c>
      <c r="C59" s="12" t="str">
        <f ca="1">IFERROR(__xludf.DUMMYFUNCTION("IMPORTXML(""https://pubmed.ncbi.nlm.nih.gov/""&amp;A65,""/html/body/div[5]/main/div[2]/div/p/text()"")")," Neisseria gonorrhoeae is a gram negative diplococcus bacterium and the 
causative agent of the sexually transmitted disease Gonorrhea. It has been 
recently given the status of ""superbug"" by World Health Organization 
because of the increasing antibiot"&amp;"ic resistance and unavailability of a 
viable vaccine candidate. Over recent years, there have been increasing 
reports about the use of subtractive genomics to identify potential drug 
and vaccine targets. Our study utilizes codon biasing, a tool to iden"&amp;"tify 
the essential genes, in N. gonorrhoeae that could be utilized as novel 
therapeutic targets for drug or vaccine development. Through the screening 
of 2350 total genes, we present a list of 29 such drug candidate genes 
based on codon adaptation. Th"&amp;"rough the data-mining with BLAST2GO and 
InterProScan databases, we could predict the function of these 29 genes. 
These genes are involved in pivotal cellular functions like DNA 
replication, energy synthesis and metabolites production. This study also 
"&amp;"shortlists the essential genes of N. gonorrhoeae that could be used to 
target Neisseria. We identified a molecule/drug which can be used to target 
essential protein DapD (succinyltransferase). ")</f>
        <v xml:space="preserve"> 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 </v>
      </c>
      <c r="D59" s="9" t="s">
        <v>20</v>
      </c>
      <c r="E59" s="9" t="s">
        <v>142</v>
      </c>
      <c r="F59" s="9" t="s">
        <v>143</v>
      </c>
      <c r="G59" s="9" t="s">
        <v>41</v>
      </c>
    </row>
    <row r="60" spans="1:7" ht="12.5">
      <c r="A60" s="5">
        <v>24593108</v>
      </c>
      <c r="B60" s="6" t="s">
        <v>144</v>
      </c>
      <c r="C60" s="7" t="str">
        <f ca="1">IFERROR(__xludf.DUMMYFUNCTION("IMPORTXML(""https://pubmed.ncbi.nlm.nih.gov/""&amp;A66,""/html/body/div[5]/main/div[2]/div/p/text()"")")," Neisseria gonorrhoeae is a Gram-negative bacteria responsible for the 
sexually transmitted infection gonorrhoea, which is increasingly common in 
the UK. Drug-resistant strains of the bacteria have emerged, which is 
making gonorrhoea difficult to treat"&amp;". Therefore, preventing infection is 
important. This article identifies people at increased risk of contracting 
the infection, and explores how nurses can offer testing and treatment as 
well as helping to prevent infection through education and health "&amp;"
promotion. ")</f>
        <v xml:space="preserve"> Neisseria gonorrhoeae is a Gram-negative bacteria responsible for the 
sexually transmitted infection gonorrhoea, which is increasingly common in 
the UK. Drug-resistant strains of the bacteria have emerged, which is 
making gonorrhoea difficult to treat. Therefore, preventing infection is 
important. This article identifies people at increased risk of contracting 
the infection, and explores how nurses can offer testing and treatment as 
well as helping to prevent infection through education and health 
promotion. </v>
      </c>
      <c r="D60" s="8" t="s">
        <v>8</v>
      </c>
      <c r="E60" s="5"/>
      <c r="F60" s="5" t="s">
        <v>145</v>
      </c>
      <c r="G60" s="5" t="s">
        <v>28</v>
      </c>
    </row>
    <row r="61" spans="1:7" ht="12.5">
      <c r="A61" s="9">
        <v>34633841</v>
      </c>
      <c r="B61" s="10" t="s">
        <v>146</v>
      </c>
      <c r="C61" s="12" t="str">
        <f ca="1">IFERROR(__xludf.DUMMYFUNCTION("IMPORTXML(""https://pubmed.ncbi.nlm.nih.gov/""&amp;A67,""/html/body/div[5]/main/div[2]/div/p/text()"")")," Neisseria gonorrhoeae is an increasing public health threat due to its 
rapidly rising incidence and antibiotic resistance. There are an estimated 
106 million cases per year worldwide, there is no vaccine available to 
prevent infection, and N. gonorrho"&amp;"eae strains that are resistant to all 
antibiotics routinely used to treat the infection have emerged. In many 
strains, antibiotic resistance is mediated by overexpression of the MtrCDE 
efflux pump, which enables the bacteria to transport toxic antibiot"&amp;"ics out 
of the cell. Genetic mutations that inactivate MtrCDE have previously been 
shown to render resistant strains susceptible to certain antibiotics. Here, 
we show that peptides rationally designed to target and disrupt the 
activity of each of the "&amp;"three protein components of MtrCDE were able to 
increase the susceptibility of N. gonorrhoeae strains to antibiotics in a 
dose-dependent manner and with no toxicity to human cells. Cotreatment of 
bacteria with subinhibitory concentrations of the peptid"&amp;"e led to 2- to 
64-fold increases in susceptibility to erythromycin, azithromycin, 
ciprofloxacin, and/or ceftriaxone in N. gonorrhoeae strains FA1090, WHO K, 
WHO P, and WHO X. The cotreatment experiments with peptides P-MtrC1 and 
P-MtrE1 resulted in in"&amp;"creased susceptibilities of WHO P and WHO X to 
azithromycin, ciprofloxacin, and ceftriaxone that were of the same 
magnitude seen in MtrCDE mutants. P-MtrE1 was able to change the 
azithromycin resistance profile of WHO P from resistant to susceptible. 
"&amp;"Data presented here demonstrate that these peptides may be developed for 
use as a dual treatment with existing antibiotics to treat 
multidrug-resistant gonococcal infections. ")</f>
        <v xml:space="preserve"> 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v>
      </c>
      <c r="D61" s="9" t="s">
        <v>20</v>
      </c>
      <c r="E61" s="9" t="s">
        <v>60</v>
      </c>
      <c r="F61" s="9" t="s">
        <v>147</v>
      </c>
      <c r="G61" s="9" t="s">
        <v>73</v>
      </c>
    </row>
    <row r="62" spans="1:7" ht="12.5">
      <c r="A62" s="5">
        <v>32807804</v>
      </c>
      <c r="B62" s="6" t="s">
        <v>148</v>
      </c>
      <c r="C62" s="6" t="str">
        <f ca="1">IFERROR(__xludf.DUMMYFUNCTION("IMPORTXML(""https://pubmed.ncbi.nlm.nih.gov/""&amp;A68,""/html/body/div[5]/main/div[2]/div/p/text()"")")," Neisseria gonorrhoeae is an urgent public health threat due to rapidly 
increasing incidence and antibiotic resistance. In contrast with the trend 
of increasing resistance, clinical isolates that have reverted to 
susceptibility regularly appear, prompt"&amp;"ing questions about which pressures 
compete with antibiotics to shape gonococcal evolution. Here, we used 
genome-wide association to identify loss-of-function (LOF) mutations in the 
efflux pump mtrCDE operon as a mechanism of increased antibiotic 
susc"&amp;"eptibility and demonstrate that these mutations are overrepresented in 
cervical relative to urethral isolates. This enrichment holds true for LOF 
mutations in another efflux pump, farAB, and in urogenitally-adapted versus 
typical N. meningitidis, provi"&amp;"ding evidence for a model in which expression 
of these pumps in the female urogenital tract incurs a fitness cost for 
pathogenic Neisseria. Overall, our findings highlight the impact of 
integrating microbial population genomics with host metadata and 
"&amp;"demonstrate how host environmental pressures can lead to increased 
antibiotic susceptibility. ")</f>
        <v xml:space="preserve"> Neisseria gonorrhoeae is an urgent public health threat due to rapidly 
increasing incidence and antibiotic resistance. In contrast with the trend 
of increasing resistance, clinical isolates that have reverted to 
susceptibility regularly appear, prompting questions about which pressures 
compete with antibiotics to shape gonococcal evolution. Here, we used 
genome-wide association to identify loss-of-function (LOF) mutations in the 
efflux pump mtrCDE operon as a mechanism of increased antibiotic 
susceptibility and demonstrate that these mutations are overrepresented in 
cervical relative to urethral isolates. This enrichment holds true for LOF 
mutations in another efflux pump, farAB, and in urogenitally-adapted versus 
typical N. meningitidis, providing evidence for a model in which expression 
of these pumps in the female urogenital tract incurs a fitness cost for 
pathogenic Neisseria. Overall, our findings highlight the impact of 
integrating microbial population genomics with host metadata and 
demonstrate how host environmental pressures can lead to increased 
antibiotic susceptibility. </v>
      </c>
      <c r="D62" s="5" t="s">
        <v>15</v>
      </c>
      <c r="E62" s="5" t="s">
        <v>16</v>
      </c>
      <c r="F62" s="5" t="s">
        <v>149</v>
      </c>
      <c r="G62" s="5" t="s">
        <v>86</v>
      </c>
    </row>
    <row r="63" spans="1:7" ht="12.5">
      <c r="A63" s="9">
        <v>28520925</v>
      </c>
      <c r="B63" s="10" t="s">
        <v>150</v>
      </c>
      <c r="C63" s="10" t="str">
        <f ca="1">IFERROR(__xludf.DUMMYFUNCTION("IMPORTXML(""https://pubmed.ncbi.nlm.nih.gov/""&amp;A69,""/html/body/div[5]/main/div[2]/div/p/text()"")")," Neisseria gonorrhoeae is one of the most prevalent sexually transmitted 
infections worldwide. This obligate human pathogen has been extensively 
studied in vitro, where bacterial factors that are known to contribute to 
gonococcal disease and their regu"&amp;"lation are relatively well defined. 
However, these in vitro experimental conditions only loosely replicate the 
host specific environment encountered by the bacteria in vivo. We recently 
reported on the complete gonococcal transcriptome expressed during"&amp;" natural 
human mucosal infection using RNA-seq analysis. Gene transcripts expressed 
in vivo (in vivo expressed factors) included genes encoding antibiotic 
resistance determinants, and a large number of hypothetical genes. A 
comparison of the gonococca"&amp;"l transcriptome expressed in vivo with the 
corresponding strain grown in vitro identified sets of genes regulated by 
infection, including those regulated by iron and the transcriptional 
regulatory protein Fur. We highlight here the role of Fur and 
gon"&amp;"ococcal-specific regulatory processes important for infection and 
pathogenicity. We have determined that the genes controlled by Fur follow 
the same expression pattern in vivo as described previously in vitro, 
confirming Fur's regulatory role during in"&amp;"fection. Collectively, these 
studies provide new insights into how bacterial fitness and pathogenicity 
are modulated during human mucosal infection. ")</f>
        <v xml:space="preserve"> Neisseria gonorrhoeae is one of the most prevalent sexually transmitted 
infections worldwide. This obligate human pathogen has been extensively 
studied in vitro, where bacterial factors that are known to contribute to 
gonococcal disease and their regulation are relatively well defined. 
However, these in vitro experimental conditions only loosely replicate the 
host specific environment encountered by the bacteria in vivo. We recently 
reported on the complete gonococcal transcriptome expressed during natural 
human mucosal infection using RNA-seq analysis. Gene transcripts expressed 
in vivo (in vivo expressed factors) included genes encoding antibiotic 
resistance determinants, and a large number of hypothetical genes. A 
comparison of the gonococcal transcriptome expressed in vivo with the 
corresponding strain grown in vitro identified sets of genes regulated by 
infection, including those regulated by iron and the transcriptional 
regulatory protein Fur. We highlight here the role of Fur and 
gonococcal-specific regulatory processes important for infection and 
pathogenicity. We have determined that the genes controlled by Fur follow 
the same expression pattern in vivo as described previously in vitro, 
confirming Fur's regulatory role during infection. Collectively, these 
studies provide new insights into how bacterial fitness and pathogenicity 
are modulated during human mucosal infection. </v>
      </c>
      <c r="D63" s="9"/>
      <c r="E63" s="9"/>
      <c r="F63" s="9" t="s">
        <v>151</v>
      </c>
      <c r="G63" s="9" t="s">
        <v>13</v>
      </c>
    </row>
    <row r="64" spans="1:7" ht="12.5">
      <c r="A64" s="5">
        <v>27451856</v>
      </c>
      <c r="B64" s="6" t="s">
        <v>152</v>
      </c>
      <c r="C64" s="12" t="str">
        <f ca="1">IFERROR(__xludf.DUMMYFUNCTION("IMPORTXML(""https://pubmed.ncbi.nlm.nih.gov/""&amp;A70,""/html/body/div[5]/main/div[2]/div/p/text()"")")," Neisseria gonorrhoeae is the cause of the second most common sexually 
transmitted bacterial infection, with ca. 80 million new cases of 
gonorrhoea reported annually. The recent emergence of clinical isolates 
resistant to the last monotherapy against t"&amp;"his bacterium, the 
cephalosporins, illustrates the need for new antigonococcal agents. Here we 
have characterised a new group of antimicrobials based on the compound 
resazurin that exhibits robust activity against N. gonorrhoeae in vitro. 
Resazurin in"&amp;"hibits the growth of a broad range of N. gonorrhoeae isolates, 
including those resistant to multiple antibiotics. Furthermore, treatment 
of human endometrial cells infected with N. gonorrhoeae with resazurin 
significantly reduces the number of intracel"&amp;"lular bacteria. Whilst 
resazurin exhibited potent in vitro antimicrobial activity, in vivo 
resazurin did not limit the colonisation of mice with N. gonorrhoeae 
following vaginal infection. The ineffectiveness of resazurin in vivo is 
likely due to its "&amp;"interaction with serum albumin, which completely 
diminishes its antimicrobial activity. However, treatment of mice with a 
resazurin analogue (resorufin pentyl ether) that maintains its 
antimicrobial activity in the presence of serum albumin approached "&amp;"a 
significant decrease in the percentage of mice vaginally colonised. This 
treatment also decreased vaginal colonisation by N. gonorrhoeae over time. 
Together, these data suggest that resazurin derivatives have potential for 
the treatment of gonorrhoe"&amp;"a. ")</f>
        <v xml:space="preserve"> Neisseria gonorrhoeae is the cause of the second most common sexually 
transmitted bacterial infection, with ca. 80 million new cases of 
gonorrhoea reported annually. The recent emergence of clinical isolates 
resistant to the last monotherapy against this bacterium, the 
cephalosporins, illustrates the need for new antigonococcal agents. Here we 
have characterised a new group of antimicrobials based on the compound 
resazurin that exhibits robust activity against N. gonorrhoeae in vitro. 
Resazurin inhibits the growth of a broad range of N. gonorrhoeae isolates, 
including those resistant to multiple antibiotics. Furthermore, treatment 
of human endometrial cells infected with N. gonorrhoeae with resazurin 
significantly reduces the number of intracellular bacteria. Whilst 
resazurin exhibited potent in vitro antimicrobial activity, in vivo 
resazurin did not limit the colonisation of mice with N. gonorrhoeae 
following vaginal infection. The ineffectiveness of resazurin in vivo is 
likely due to its interaction with serum albumin, which completely 
diminishes its antimicrobial activity. However, treatment of mice with a 
resazurin analogue (resorufin pentyl ether) that maintains its 
antimicrobial activity in the presence of serum albumin approached a 
significant decrease in the percentage of mice vaginally colonised. This 
treatment also decreased vaginal colonisation by N. gonorrhoeae over time. 
Together, these data suggest that resazurin derivatives have potential for 
the treatment of gonorrhoea. </v>
      </c>
      <c r="D64" s="5" t="s">
        <v>20</v>
      </c>
      <c r="E64" s="5" t="s">
        <v>23</v>
      </c>
      <c r="F64" s="5" t="s">
        <v>153</v>
      </c>
      <c r="G64" s="5" t="s">
        <v>10</v>
      </c>
    </row>
    <row r="65" spans="1:7" ht="12.5">
      <c r="A65" s="9">
        <v>30552033</v>
      </c>
      <c r="B65" s="10" t="s">
        <v>154</v>
      </c>
      <c r="C65" s="12" t="str">
        <f ca="1">IFERROR(__xludf.DUMMYFUNCTION("IMPORTXML(""https://pubmed.ncbi.nlm.nih.gov/""&amp;A71,""/html/body/div[5]/main/div[2]/div/p/text()"")"),"Loading...")</f>
        <v>Loading...</v>
      </c>
      <c r="D65" s="9" t="s">
        <v>20</v>
      </c>
      <c r="E65" s="9" t="s">
        <v>23</v>
      </c>
      <c r="F65" s="9" t="s">
        <v>155</v>
      </c>
      <c r="G65" s="9" t="s">
        <v>118</v>
      </c>
    </row>
    <row r="66" spans="1:7" ht="12.5">
      <c r="A66" s="5">
        <v>32221472</v>
      </c>
      <c r="B66" s="6" t="s">
        <v>156</v>
      </c>
      <c r="C66" s="12" t="str">
        <f ca="1">IFERROR(__xludf.DUMMYFUNCTION("IMPORTXML(""https://pubmed.ncbi.nlm.nih.gov/""&amp;A72,""/html/body/div[5]/main/div[2]/div/p/text()"")")," Neisseria gonorrhoeae represents an urgent public health threat due to the 
rapid emergence of resistance to current antibiotics and the limited number 
of anti-gonococcal agents currently in clinical trials. This study utilized 
a drug repositioning str"&amp;"ategy to investigate FDA-approved gold-containing 
drugs against N. gonorrhoeae. Auranofin, sodium aurothiomalate and 
aurothioglucose inhibited 48 clinical isolates of N. gonorrhoeae including 
multidrug-resistant strains at a concentration as low as 0.0"&amp;"3 µg/mL. A 
time-kill assay revealed that auranofin exhibited rapid bactericidal 
activity against N. gonorrhoeae. Moreover, both sodium aurothiomalate and 
aurothioglucose did not inhibit growth of vaginal protective commensal 
lactobacilli. Auranofin, i"&amp;"n combination with azithromycin, ceftriaxone, 
cefixime or tetracycline showed an additive effect against four N. 
gonorrhoeae strains, suggesting the possibility of using auranofin in dual 
therapy. Moreover, auranofin reduced the burden of intracellular"&amp;" N. 
gonorrhoeae by over 99% outperforming the drug of choice ceftriaxone. 
Auranofin was found superior to ceftriaxone in reducing the secretion of 
the pro-inflammatory cytokine IL-8 by endocervical cells infected with N. 
gonorrhoeae. Furthermore, aura"&amp;"nofin exhibited a prolonged post-antibiotic 
effect over 10 h, as well as inability to generate resistant mutants. 
Overall, the current study suggests that repurposing gold-containing drugs, 
like auranofin, for treatment of gonorrhea warrants further in"&amp;"vestigation. ")</f>
        <v xml:space="preserve"> 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 </v>
      </c>
      <c r="D66" s="5" t="s">
        <v>20</v>
      </c>
      <c r="E66" s="5" t="s">
        <v>23</v>
      </c>
      <c r="F66" s="5" t="s">
        <v>157</v>
      </c>
      <c r="G66" s="5" t="s">
        <v>49</v>
      </c>
    </row>
    <row r="67" spans="1:7" ht="12.5">
      <c r="A67" s="9">
        <v>27895130</v>
      </c>
      <c r="B67" s="10" t="s">
        <v>158</v>
      </c>
      <c r="C67" s="12" t="str">
        <f ca="1">IFERROR(__xludf.DUMMYFUNCTION("IMPORTXML(""https://pubmed.ncbi.nlm.nih.gov/""&amp;A73,""/html/body/div[5]/main/div[2]/div/p/text()"")")," Neisseria gonorrhoeae, the causative agent of the sexually transmitted 
infection (STI) gonorrhea, is a growing public health threat for which a 
vaccine is urgently needed. We characterized the functional role of the 
gonococcal MetQ protein, which is t"&amp;"he methionine binding component of an 
ABC transporter system, and assessed its potential as a candidate antigen 
for inclusion in a gonococcal vaccine. MetQ has been found to be highly 
conserved in all strains investigated to date, it is localized on th"&amp;"e 
bacterial surface, and it binds l-methionine with a high affinity. MetQ is 
also involved in gonococcal adherence to cervical epithelial cells. Mutants 
lacking MetQ have impaired survival in human monocytes, macrophages, and 
serum. Furthermore, antib"&amp;"odies raised against MetQ are bactericidal and are 
able to block gonococcal adherence to epithelial cells. These data suggest 
that MetQ elicits both bactericidal and functional blocking antibodies and 
is a valid candidate antigen for additional investi"&amp;"gation and possible 
inclusion in a vaccine for prevention of gonorrhea. ")</f>
        <v xml:space="preserve"> 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 </v>
      </c>
      <c r="D67" s="9" t="s">
        <v>20</v>
      </c>
      <c r="E67" s="9" t="s">
        <v>93</v>
      </c>
      <c r="F67" s="9" t="s">
        <v>159</v>
      </c>
      <c r="G67" s="9" t="s">
        <v>41</v>
      </c>
    </row>
    <row r="68" spans="1:7" ht="12.5">
      <c r="A68" s="5">
        <v>26351283</v>
      </c>
      <c r="B68" s="6" t="s">
        <v>160</v>
      </c>
      <c r="C68" s="13" t="s">
        <v>161</v>
      </c>
      <c r="D68" s="5" t="s">
        <v>36</v>
      </c>
      <c r="E68" s="5" t="s">
        <v>37</v>
      </c>
      <c r="F68" s="5" t="s">
        <v>162</v>
      </c>
      <c r="G68" s="5" t="s">
        <v>18</v>
      </c>
    </row>
    <row r="69" spans="1:7" ht="12.5">
      <c r="A69" s="9">
        <v>25547354</v>
      </c>
      <c r="B69" s="10" t="s">
        <v>163</v>
      </c>
      <c r="C69" s="12" t="str">
        <f ca="1">IFERROR(__xludf.DUMMYFUNCTION("IMPORTXML(""https://pubmed.ncbi.nlm.nih.gov/""&amp;A75,""/html/body/div[5]/main/div[2]/div/p/text()"")")," New therapeutic strategies are needed to combat the emergence of 
infections due to multidrug-resistant Neisseria gonorrhoeae. In this study, 
fosfomycin (FOS) was tested against 89 N. gonorrhoeae isolates using the 
Etest method, showing MIC50/MIC90s of"&amp;" only 8/16 μg/ml (range, ≤1 to 32 
μg/ml). FOS in combination with ceftriaxone (CRO) or azithromycin (AZT) was 
then evaluated using the checkerboard method for eight strains, including 
N. gonorrhoeae F89 (CRO-resistant) and AZT-HLR (high-level AZT-resis"&amp;"tant). 
All combinations that included FOS gave indifferent effects (fractional 
inhibitory concentration [FIC] index values, 1.2 to 2.3 for FOS plus CRO, 
1.8 to 3.2 for FOS plus AZT). Time-kill experiments for FOS, CRO, AZT, and 
their combinations (at "&amp;"0.5×, 1×, 2×, and 4× the MIC) were performed against 
N. gonorrhoeae strain ATCC 49226, one N. gonorrhoeae multiantigen sequence 
typing (NG-MAST) sequence type 1407 (ST1407) strain, F89, and AZT-HLR. For 
all strains, at 24 h, the results indicated that "&amp;"(i) FOS was bactericidal 
at 2× the MIC, but after &gt;24 h, there was regrowth of bacteria; (ii) CRO 
was bactericidal at 0.5× the MIC; (iii) AZT was bactericidal at 4× the MIC; 
(iv) CRO plus AZT was less bactericidal than was CRO alone; (v) FOS plus 
AZT "&amp;"was bactericidal at 2× the MIC; and (vi) CRO plus AZT and FOS plus CRO 
were both bactericidal at 0.5× the MIC, but FOS plus CRO had more rapid 
effects. FOS is appealing for use in the management of N. gonorrhoeae 
infections because of its single and or"&amp;"al formulation. However, our results 
suggest it be used in combination with CRO. After the appropriate clinical 
trials are conducted, this strategy could be implemented for the treatment 
of infections due to isolates possessing resistance to CRO and/or"&amp;" AZT. ")</f>
        <v xml:space="preserve"> New therapeutic strategies are needed to combat the emergence of 
infections due to multidrug-resistant Neisseria gonorrhoeae. In this study, 
fosfomycin (FOS) was tested against 89 N. gonorrhoeae isolates using the 
Etest method, showing MIC50/MIC90s of only 8/16 μg/ml (range, ≤1 to 32 
μg/ml). FOS in combination with ceftriaxone (CRO) or azithromycin (AZT) was 
then evaluated using the checkerboard method for eight strains, including 
N. gonorrhoeae F89 (CRO-resistant) and AZT-HLR (high-level AZT-resistant). 
All combinations that included FOS gave indifferent effects (fractional 
inhibitory concentration [FIC] index values, 1.2 to 2.3 for FOS plus CRO, 
1.8 to 3.2 for FOS plus AZT). Time-kill experiments for FOS, CRO, AZT, and 
their combinations (at 0.5×, 1×, 2×, and 4× the MIC) were performed against 
N. gonorrhoeae strain ATCC 49226, one N. gonorrhoeae multiantigen sequence 
typing (NG-MAST) sequence type 1407 (ST1407) strain, F89, and AZT-HLR. For 
all strains, at 24 h, the results indicated that (i) FOS was bactericidal 
at 2× the MIC, but after &gt;24 h, there was regrowth of bacteria; (ii) CRO 
was bactericidal at 0.5× the MIC; (iii) AZT was bactericidal at 4× the MIC; 
(iv) CRO plus AZT was less bactericidal than was CRO alone; (v) FOS plus 
AZT was bactericidal at 2× the MIC; and (vi) CRO plus AZT and FOS plus CRO 
were both bactericidal at 0.5× the MIC, but FOS plus CRO had more rapid 
effects. FOS is appealing for use in the management of N. gonorrhoeae 
infections because of its single and oral formulation. However, our results 
suggest it be used in combination with CRO. After the appropriate clinical 
trials are conducted, this strategy could be implemented for the treatment 
of infections due to isolates possessing resistance to CRO and/or AZT. </v>
      </c>
      <c r="D69" s="9" t="s">
        <v>20</v>
      </c>
      <c r="E69" s="9" t="s">
        <v>33</v>
      </c>
      <c r="F69" s="9" t="s">
        <v>120</v>
      </c>
      <c r="G69" s="9" t="s">
        <v>31</v>
      </c>
    </row>
    <row r="70" spans="1:7" ht="12.5">
      <c r="A70" s="5">
        <v>29249252</v>
      </c>
      <c r="B70" s="6" t="s">
        <v>164</v>
      </c>
      <c r="C70" s="7" t="str">
        <f ca="1">IFERROR(__xludf.DUMMYFUNCTION("IMPORTXML(""https://pubmed.ncbi.nlm.nih.gov/""&amp;A76,""/html/body/div[5]/main/div[2]/div/p/text()"")")," On a therapeutic point of view, 2017 in dermatology could be summarized in 
one disease, one pathway and in one number : atopic dermatitis, JAK 
inhibitors and 23. 2017 will be the year of the first registration of a 
biologic treatment in atopic dermati"&amp;"tis, dupilumab, with numerous other 
drugs currently in development. JAK inhibitors show promising results in 
several difficult-to-treat conditions, such as alopecia areata, vitiligo or 
atopic dermatitis, but still warrant confirmation in upcoming contr"&amp;"olled 
trials. Monoclonal antibodies targeting IL-23 have confirmed in phase III 
studies their great efficacy in controlling psoriasis and will be soon 
available in practice, illustrating well the optimal link between bench 
side and bed in this emblema"&amp;"tic inflammatory dermatological condition. ")</f>
        <v xml:space="preserve"> On a therapeutic point of view, 2017 in dermatology could be summarized in 
one disease, one pathway and in one number : atopic dermatitis, JAK 
inhibitors and 23. 2017 will be the year of the first registration of a 
biologic treatment in atopic dermatitis, dupilumab, with numerous other 
drugs currently in development. JAK inhibitors show promising results in 
several difficult-to-treat conditions, such as alopecia areata, vitiligo or 
atopic dermatitis, but still warrant confirmation in upcoming controlled 
trials. Monoclonal antibodies targeting IL-23 have confirmed in phase III 
studies their great efficacy in controlling psoriasis and will be soon 
available in practice, illustrating well the optimal link between bench 
side and bed in this emblematic inflammatory dermatological condition. </v>
      </c>
      <c r="D70" s="8" t="s">
        <v>8</v>
      </c>
      <c r="E70" s="5"/>
      <c r="F70" s="5" t="s">
        <v>165</v>
      </c>
      <c r="G70" s="5" t="s">
        <v>28</v>
      </c>
    </row>
    <row r="71" spans="1:7" ht="12.5">
      <c r="A71" s="9">
        <v>24275271</v>
      </c>
      <c r="B71" s="10" t="s">
        <v>166</v>
      </c>
      <c r="C71" s="7" t="str">
        <f ca="1">IFERROR(__xludf.DUMMYFUNCTION("IMPORTXML(""https://pubmed.ncbi.nlm.nih.gov/""&amp;A77,""/html/body/div[5]/main/div[2]/div/p/text()"")")," Pelvic inflammatory disease (PID) is characterized by infection and 
inflammation of the upper genital tract in women and can cause significant 
reproductive health sequelae for women. Although a definitive diagnosis of 
PID is made by laparoscopic visua"&amp;"lization of inflamed, purulent fallopian 
tubes, PID is generally a clinical diagnosis and thus represents a 
diagnostic challenge. Therefore, diagnosis and treatment algorithms advise 
a high index of suspicion for PID in any woman of reproductive age wi"&amp;"th 
pelvic or abdominal pain. Antibiotic therapy should be started early, and 
given for an adequate period of time to reduce the risk of complications. 
Coverage for anaerobic organisms should be considered in most cases. ")</f>
        <v xml:space="preserve"> Pelvic inflammatory disease (PID) is characterized by infection and 
inflammation of the upper genital tract in women and can cause significant 
reproductive health sequelae for women. Although a definitive diagnosis of 
PID is made by laparoscopic visualization of inflamed, purulent fallopian 
tubes, PID is generally a clinical diagnosis and thus represents a 
diagnostic challenge. Therefore, diagnosis and treatment algorithms advise 
a high index of suspicion for PID in any woman of reproductive age with 
pelvic or abdominal pain. Antibiotic therapy should be started early, and 
given for an adequate period of time to reduce the risk of complications. 
Coverage for anaerobic organisms should be considered in most cases. </v>
      </c>
      <c r="D71" s="11" t="s">
        <v>8</v>
      </c>
      <c r="E71" s="9"/>
      <c r="F71" s="9" t="s">
        <v>167</v>
      </c>
      <c r="G71" s="9" t="s">
        <v>118</v>
      </c>
    </row>
    <row r="72" spans="1:7" ht="12.5">
      <c r="A72" s="5">
        <v>24787738</v>
      </c>
      <c r="B72" s="6" t="s">
        <v>168</v>
      </c>
      <c r="C72" s="7" t="str">
        <f ca="1">IFERROR(__xludf.DUMMYFUNCTION("IMPORTXML(""https://pubmed.ncbi.nlm.nih.gov/""&amp;A78,""/html/body/div[5]/main/div[2]/div/p/text()"")"),"#REF!")</f>
        <v>#REF!</v>
      </c>
      <c r="D72" s="8" t="s">
        <v>8</v>
      </c>
      <c r="E72" s="5"/>
      <c r="F72" s="5" t="s">
        <v>169</v>
      </c>
      <c r="G72" s="5" t="s">
        <v>118</v>
      </c>
    </row>
    <row r="73" spans="1:7" ht="12.5">
      <c r="A73" s="9">
        <v>28745849</v>
      </c>
      <c r="B73" s="10" t="s">
        <v>170</v>
      </c>
      <c r="C73" s="7" t="str">
        <f ca="1">IFERROR(__xludf.DUMMYFUNCTION("IMPORTXML(""https://pubmed.ncbi.nlm.nih.gov/""&amp;A79,""/html/body/div[5]/main/div[2]/div/p/text()"")")," Pelvic inflammatory disease is a common disease that is associated with 
significant complications including infertility, chronic pelvic pain, 
ruptured tubo-ovarian abscess, and ectopic pregnancy. The diagnosis may be 
delayed when the presentation has "&amp;"nonspecific signs and symptoms. Even when 
it is properly identified, pelvic inflammatory disease is often treated 
suboptimally. This review provides evidence-based recommendations for the 
diagnosis, treatment, disposition, and follow-up of patients wit"&amp;"h pelvic 
inflammatory disease. Arranging follow-up of patients within 48 to 72 hours 
and providing clear patient education are fundamental to ensuring good 
patient outcomes. Emerging issues, including new pathogens and evolving 
resistance patterns amo"&amp;"ng pelvic inflammatory disease pathogens are 
reviewed. [Points &amp; Pearls is a digest of Emergency Medicine Practice]. ")</f>
        <v xml:space="preserve"> Pelvic inflammatory disease is a common disease that is associated with 
significant complications including infertility, chronic pelvic pain, 
ruptured tubo-ovarian abscess, and ectopic pregnancy. The diagnosis may be 
delayed when the presentation has nonspecific signs and symptoms. Even when 
it is properly identified, pelvic inflammatory disease is often treated 
suboptimally. This review provides evidence-based recommendations for the 
diagnosis, treatment, disposition, and follow-up of patients with pelvic 
inflammatory disease. Arranging follow-up of patients within 48 to 72 hours 
and providing clear patient education are fundamental to ensuring good 
patient outcomes. Emerging issues, including new pathogens and evolving 
resistance patterns among pelvic inflammatory disease pathogens are 
reviewed. [Points &amp; Pearls is a digest of Emergency Medicine Practice]. </v>
      </c>
      <c r="D73" s="11" t="s">
        <v>8</v>
      </c>
      <c r="E73" s="9"/>
      <c r="F73" s="9" t="s">
        <v>171</v>
      </c>
      <c r="G73" s="9" t="s">
        <v>41</v>
      </c>
    </row>
    <row r="74" spans="1:7" ht="12.5">
      <c r="A74" s="5">
        <v>29100864</v>
      </c>
      <c r="B74" s="6" t="s">
        <v>172</v>
      </c>
      <c r="C74" s="12" t="str">
        <f ca="1">IFERROR(__xludf.DUMMYFUNCTION("IMPORTXML(""https://pubmed.ncbi.nlm.nih.gov/""&amp;A80,""/html/body/div[5]/main/div[2]/div/p/text()"")")," Poly(ɛ-caprolactone) (PCL) intravaginal matrices were produced for local 
delivery of a combination of antibacterials, by rapidly cooling a mixture 
of drug powders dispersed in PCL solution. Matrices loaded with different 
combinations of metronidazole "&amp;"(10%, 15%, and 20% w/w) and doxycycline (10% 
w/w) were evaluated in vitro for release behavior and antibacterial 
activity. Rapid ""burst release"" of 8%-15% of the doxycycline content and 
31%-37% of the metronidazole content occurred within 24 h when m"&amp;"atrices 
were immersed in simulated vaginal fluid at 37°C. The remaining drug was 
extracted gradually over 14 days to a maximum of 65%-73% for doxycycline 
and 62%-71% for metronidazole. High levels of antibacterial activity up to 
89%-91% against Gardne"&amp;"rella vaginalis and 84%-92% against Neisseria 
gonorrhoeae were recorded in vitro for release media collected on day 14, 
compared to ""nonformulated"" metronidazole and doxycycline solutions. Based 
on the in vitro data, the minimum levels of doxycycline"&amp;" and metronidazole 
released from PCL matrices in the form of intravaginal rings into vaginal 
fluid in vivo were predicted to exceed the minimum inhibitory 
concentrations for N. gonorrhea (reported range 0.5-4.0 μg/mL) and G. 
vaginalis (reported range "&amp;"2-12.8 μg/mL) respectively, which are 2 of the 
major causative agents for pelvic inflammatory disease. ")</f>
        <v xml:space="preserve"> Poly(ɛ-caprolactone) (PCL) intravaginal matrices were produced for local 
delivery of a combination of antibacterials, by rapidly cooling a mixture 
of drug powders dispersed in PCL solution. Matrices loaded with different 
combinations of metronidazole (10%, 15%, and 20% w/w) and doxycycline (10% 
w/w) were evaluated in vitro for release behavior and antibacterial 
activity. Rapid "burst release" of 8%-15% of the doxycycline content and 
31%-37% of the metronidazole content occurred within 24 h when matrices 
were immersed in simulated vaginal fluid at 37°C. The remaining drug was 
extracted gradually over 14 days to a maximum of 65%-73% for doxycycline 
and 62%-71% for metronidazole. High levels of antibacterial activity up to 
89%-91% against Gardnerella vaginalis and 84%-92% against Neisseria 
gonorrhoeae were recorded in vitro for release media collected on day 14, 
compared to "nonformulated" metronidazole and doxycycline solutions. Based 
on the in vitro data, the minimum levels of doxycycline and metronidazole 
released from PCL matrices in the form of intravaginal rings into vaginal 
fluid in vivo were predicted to exceed the minimum inhibitory 
concentrations for N. gonorrhea (reported range 0.5-4.0 μg/mL) and G. 
vaginalis (reported range 2-12.8 μg/mL) respectively, which are 2 of the 
major causative agents for pelvic inflammatory disease. </v>
      </c>
      <c r="D74" s="5" t="s">
        <v>20</v>
      </c>
      <c r="E74" s="5" t="s">
        <v>33</v>
      </c>
      <c r="F74" s="5" t="s">
        <v>78</v>
      </c>
      <c r="G74" s="5" t="s">
        <v>13</v>
      </c>
    </row>
    <row r="75" spans="1:7" ht="12.5">
      <c r="A75" s="9">
        <v>22214775</v>
      </c>
      <c r="B75" s="10" t="s">
        <v>173</v>
      </c>
      <c r="C75" s="10" t="str">
        <f ca="1">IFERROR(__xludf.DUMMYFUNCTION("IMPORTXML(""https://pubmed.ncbi.nlm.nih.gov/""&amp;A81,""/html/body/div[5]/main/div[2]/div/p/text()"")")," Previous studies have shown that the MpeR transcriptional regulator 
produced by Neisseria gonorrhoeae represses the expression of mtrF, which 
encodes a putative inner membrane protein (MtrF). MtrF works as an 
accessory protein with the Mtr efflux pump"&amp;", helping gonococci to resist 
high levels of diverse hydrophobic antimicrobials. Regulation of mpeR has 
been reported to occur by an iron-dependent mechanism involving Fur (ferric 
uptake regulator). Collectively, these observations suggest the presence"&amp;" of 
an interconnected regulatory system in gonococci that modulates the 
expression of efflux pump protein-encoding genes in an iron-responsive 
manner. Herein, we describe this connection and report that levels of 
gonococcal resistance to a substrate o"&amp;"f the mtrCDE-encoded efflux pump can 
be modulated by MpeR and the availability of free iron. Using microarray 
analysis, we found that the mtrR gene, which encodes a direct repressor 
(MtrR) of mtrCDE, is an MpeR-repressed determinant in the late logarit"&amp;"hmic 
phase of growth when free iron levels would be reduced due to bacterial 
consumption. This repression was enhanced under conditions of iron 
limitation and resulted in increased expression of the mtrCDE efflux pump 
operon. Furthermore, as judged by"&amp;" DNA-binding analysis, MpeR-mediated 
repression of mtrR was direct. Collectively, our results indicate that both 
genetic and physiologic parameters (e.g., iron availability) can influence 
the expression of the mtr efflux system and modulate levels of g"&amp;"onococcal 
susceptibility to efflux pump substrates. ")</f>
        <v xml:space="preserve"> Previous studies have shown that the MpeR transcriptional regulator 
produced by Neisseria gonorrhoeae represses the expression of mtrF, which 
encodes a putative inner membrane protein (MtrF). MtrF works as an 
accessory protein with the Mtr efflux pump, helping gonococci to resist 
high levels of diverse hydrophobic antimicrobials. Regulation of mpeR has 
been reported to occur by an iron-dependent mechanism involving Fur (ferric 
uptake regulator). Collectively, these observations suggest the presence of 
an interconnected regulatory system in gonococci that modulates the 
expression of efflux pump protein-encoding genes in an iron-responsive 
manner. Herein, we describe this connection and report that levels of 
gonococcal resistance to a substrate of the mtrCDE-encoded efflux pump can 
be modulated by MpeR and the availability of free iron. Using microarray 
analysis, we found that the mtrR gene, which encodes a direct repressor 
(MtrR) of mtrCDE, is an MpeR-repressed determinant in the late logarithmic 
phase of growth when free iron levels would be reduced due to bacterial 
consumption. This repression was enhanced under conditions of iron 
limitation and resulted in increased expression of the mtrCDE efflux pump 
operon. Furthermore, as judged by DNA-binding analysis, MpeR-mediated 
repression of mtrR was direct. Collectively, our results indicate that both 
genetic and physiologic parameters (e.g., iron availability) can influence 
the expression of the mtr efflux system and modulate levels of gonococcal 
susceptibility to efflux pump substrates. </v>
      </c>
      <c r="D75" s="9" t="s">
        <v>15</v>
      </c>
      <c r="E75" s="9" t="s">
        <v>16</v>
      </c>
      <c r="F75" s="9" t="s">
        <v>174</v>
      </c>
      <c r="G75" s="9" t="s">
        <v>41</v>
      </c>
    </row>
    <row r="76" spans="1:7" ht="12.5">
      <c r="A76" s="5">
        <v>30293504</v>
      </c>
      <c r="B76" s="6" t="s">
        <v>175</v>
      </c>
      <c r="C76" s="7" t="str">
        <f ca="1">IFERROR(__xludf.DUMMYFUNCTION("IMPORTXML(""https://pubmed.ncbi.nlm.nih.gov/""&amp;A82,""/html/body/div[5]/main/div[2]/div/p/text()"")"),"Loading...")</f>
        <v>Loading...</v>
      </c>
      <c r="D76" s="8" t="s">
        <v>8</v>
      </c>
      <c r="E76" s="5"/>
      <c r="F76" s="5" t="s">
        <v>61</v>
      </c>
      <c r="G76" s="5" t="s">
        <v>118</v>
      </c>
    </row>
    <row r="77" spans="1:7" ht="12.5">
      <c r="A77" s="9">
        <v>26976875</v>
      </c>
      <c r="B77" s="10" t="s">
        <v>176</v>
      </c>
      <c r="C77" s="12" t="str">
        <f ca="1">IFERROR(__xludf.DUMMYFUNCTION("IMPORTXML(""https://pubmed.ncbi.nlm.nih.gov/""&amp;A83,""/html/body/div[5]/main/div[2]/div/p/text()"")")," Quaternary ammonium compounds (QAC) are widely used, cheap, and chemically 
stable disinfectants and topical antiseptics with wide-spectrum 
antimicrobial activities. Within this group of compounds, we recently 
showed that there are significant differen"&amp;"ces between the pharmacodynamics 
of n-alkyl quaternary ammonium surfactants (QAS) with a short (C12) alkyl 
chain when in vitro toxicities toward bacterial and mammalian epithelial 
cells are compared. These differences result in an attractive therapeuti"&amp;"c 
window that justifies studying short-chain QAS as prophylactics for 
sexually transmitted infections (STI) and perinatal vertically transmitted 
urogenital infections (UGI). We have evaluated the antimicrobial activities 
of short-chain (C12) n-alkyl Q"&amp;"AS against several STI and UGI pathogens as 
well as against commensal Lactobacillus species. Inhibition of infection of 
HeLa cells by Neisseria gonorrhoeae and Chlamydia trachomatis was studied 
at concentrations that were not toxic to the HeLa cells. W"&amp;"e show that the 
pathogenic bacteria are much more susceptible to QAS toxic effects than the 
commensal vaginal flora and that QAS significantly attenuate the 
infectivity of N. gonorrhoeae and C. trachomatis without affecting the 
viability of epithelial"&amp;" cells of the vaginal mucosa. N-Dodecylpyridinium 
bromide (C12PB) was found to be the most effective QAS. Our results 
strongly suggest that short-chain (C12) n-alkyl pyridinium bromides and 
structurally similar compounds are promising microbicide candi"&amp;"dates for 
topical application in the prophylaxis of STI and perinatal vertical 
transmission of UGI. ")</f>
        <v xml:space="preserve"> Quaternary ammonium compounds (QAC) are widely used, cheap, and chemically 
stable disinfectants and topical antiseptics with wide-spectrum 
antimicrobial activities. Within this group of compounds, we recently 
showed that there are significant differences between the pharmacodynamics 
of n-alkyl quaternary ammonium surfactants (QAS) with a short (C12) alkyl 
chain when in vitro toxicities toward bacterial and mammalian epithelial 
cells are compared. These differences result in an attractive therapeutic 
window that justifies studying short-chain QAS as prophylactics for 
sexually transmitted infections (STI) and perinatal vertically transmitted 
urogenital infections (UGI). We have evaluated the antimicrobial activities 
of short-chain (C12) n-alkyl QAS against several STI and UGI pathogens as 
well as against commensal Lactobacillus species. Inhibition of infection of 
HeLa cells by Neisseria gonorrhoeae and Chlamydia trachomatis was studied 
at concentrations that were not toxic to the HeLa cells. We show that the 
pathogenic bacteria are much more susceptible to QAS toxic effects than the 
commensal vaginal flora and that QAS significantly attenuate the 
infectivity of N. gonorrhoeae and C. trachomatis without affecting the 
viability of epithelial cells of the vaginal mucosa. N-Dodecylpyridinium 
bromide (C12PB) was found to be the most effective QAS. Our results 
strongly suggest that short-chain (C12) n-alkyl pyridinium bromides and 
structurally similar compounds are promising microbicide candidates for 
topical application in the prophylaxis of STI and perinatal vertical 
transmission of UGI. </v>
      </c>
      <c r="D77" s="9" t="s">
        <v>20</v>
      </c>
      <c r="E77" s="9" t="s">
        <v>177</v>
      </c>
      <c r="F77" s="9" t="s">
        <v>178</v>
      </c>
      <c r="G77" s="9" t="s">
        <v>118</v>
      </c>
    </row>
    <row r="78" spans="1:7" ht="12.5">
      <c r="A78" s="5">
        <v>32191696</v>
      </c>
      <c r="B78" s="6" t="s">
        <v>179</v>
      </c>
      <c r="C78" s="12" t="str">
        <f ca="1">IFERROR(__xludf.DUMMYFUNCTION("IMPORTXML(""https://pubmed.ncbi.nlm.nih.gov/""&amp;A84,""/html/body/div[5]/main/div[2]/div/p/text()"")")," Rapid antibiotic susceptibility testing (AST) for Neisseria gonorrhoeae 
(Ng) is critically needed to counter widespread antibiotic resistance. 
Detection of nucleic acids in genotypic AST can be rapid, but it has not 
been successful for β-lactams (the "&amp;"largest antibiotic class used to treat 
Ng). Rapid phenotypic AST for Ng is challenged by the pathogen's slow 
doubling time and the lack of methods to quickly quantify the pathogen's 
response to β-lactams. Here, we asked two questions: (1) Is it possibl"&amp;"e to 
use nucleic acid quantification to measure the β-lactam susceptibility 
phenotype of Ng very rapidly, using antibiotic-exposure times much shorter 
than the 1- to 2-h doubling time of Ng? (2) Would such short-term 
antibiotic exposures predict the a"&amp;"ntibiotic resistance profile of Ng 
measured by plate growth assays over multiple days? To answer these 
questions, we devised an innovative approach for performing a rapid 
phenotypic AST that measures DNA accessibility to exogenous nucleases after 
expo"&amp;"sure to β-lactams (termed nuclease-accessibility AST [nuc-aAST]). We 
showed that DNA in antibiotic-susceptible cells has increased accessibility 
upon exposure to β-lactams and that a judiciously chosen surfactant 
permeabilized the outer membrane and en"&amp;"hanced this effect. We tested 
penicillin, cefixime, and ceftriaxone and found good agreement between the 
results of the nuc-aAST after 15-30 min of antibiotic exposure and the 
results of the gold-standard culture-based AST measured over days. These 
re"&amp;"sults provide a new pathway toward developing a critically needed 
phenotypic AST for Ng and additional global-health threats. ")</f>
        <v xml:space="preserve"> 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 </v>
      </c>
      <c r="D78" s="5" t="s">
        <v>20</v>
      </c>
      <c r="E78" s="5" t="s">
        <v>177</v>
      </c>
      <c r="F78" s="5" t="s">
        <v>180</v>
      </c>
      <c r="G78" s="5" t="s">
        <v>41</v>
      </c>
    </row>
    <row r="79" spans="1:7" ht="12.5">
      <c r="A79" s="9">
        <v>30649333</v>
      </c>
      <c r="B79" s="10" t="s">
        <v>181</v>
      </c>
      <c r="C79" s="7" t="str">
        <f ca="1">IFERROR(__xludf.DUMMYFUNCTION("IMPORTXML(""https://pubmed.ncbi.nlm.nih.gov/""&amp;A85,""/html/body/div[5]/main/div[2]/div/p/text()"")")," Rates of bacterial sexually transmitted infections (STIs) continue to 
rise, demanding treatments to be highly effective. However, curing 
infections faces significant challenges due to antimicrobial resistance in 
Neisseria gonorrhoeae and Mycoplasma ge"&amp;"nitalium and especially treating 
STIs at extragenital sites, particularly rectal chlamydia and oropharyngeal 
gonorrhoea. As no new antimicrobials are entering the market, clinicians 
must optimize the currently available treatments, but robust data are "&amp;"
lacking on how the properties or pharmacokinetics of antimicrobials can be 
used to inform STI treatment regimens to improve treatment outcomes. This 
paper provides a detailed overview of the published pharmacokinetics of 
antimicrobials used to treat S"&amp;"TIs and how factors related to the drug 
(tissue distribution, protein binding and t½), human (pH, inflammation, 
site of infection, drug side effects and sexual practices) and organism 
(organism load and antimicrobial resistance) can affect treatment ou"&amp;"tcomes. 
As azithromycin is commonly used to treat chlamydia, gonorrhoea and M. 
genitalium infections, and its pharmacokinetics are well studied, it is the 
main focus of this review. Suggestions are also provided on possible dosing 
regimens when using "&amp;"extended and/or higher doses of azithromycin, which 
appropriately balance efficacy and side effects. The paper also emphasizes 
the limitations of currently published pharmacokinetic studies including 
oropharyngeal gonococcal infections, where very limi"&amp;"ted data exist around 
ceftriaxone pharmacokinetics and its use in combination with azithromycin. 
In future, the different anatomical sites of infections may require 
alternative therapeutic approaches. ")</f>
        <v xml:space="preserve"> Rates of bacterial sexually transmitted infections (STIs) continue to 
rise, demanding treatments to be highly effective. However, curing 
infections faces significant challenges due to antimicrobial resistance in 
Neisseria gonorrhoeae and Mycoplasma genitalium and especially treating 
STIs at extragenital sites, particularly rectal chlamydia and oropharyngeal 
gonorrhoea. As no new antimicrobials are entering the market, clinicians 
must optimize the currently available treatments, but robust data are 
lacking on how the properties or pharmacokinetics of antimicrobials can be 
used to inform STI treatment regimens to improve treatment outcomes. This 
paper provides a detailed overview of the published pharmacokinetics of 
antimicrobials used to treat STIs and how factors related to the drug 
(tissue distribution, protein binding and t½), human (pH, inflammation, 
site of infection, drug side effects and sexual practices) and organism 
(organism load and antimicrobial resistance) can affect treatment outcomes. 
As azithromycin is commonly used to treat chlamydia, gonorrhoea and M. 
genitalium infections, and its pharmacokinetics are well studied, it is the 
main focus of this review. Suggestions are also provided on possible dosing 
regimens when using extended and/or higher doses of azithromycin, which 
appropriately balance efficacy and side effects. The paper also emphasizes 
the limitations of currently published pharmacokinetic studies including 
oropharyngeal gonococcal infections, where very limited data exist around 
ceftriaxone pharmacokinetics and its use in combination with azithromycin. 
In future, the different anatomical sites of infections may require 
alternative therapeutic approaches. </v>
      </c>
      <c r="D79" s="11" t="s">
        <v>8</v>
      </c>
      <c r="E79" s="9"/>
      <c r="F79" s="9" t="s">
        <v>182</v>
      </c>
      <c r="G79" s="9" t="s">
        <v>118</v>
      </c>
    </row>
    <row r="80" spans="1:7" ht="12.5">
      <c r="A80" s="5">
        <v>24177713</v>
      </c>
      <c r="B80" s="6" t="s">
        <v>183</v>
      </c>
      <c r="C80" s="7" t="str">
        <f ca="1">IFERROR(__xludf.DUMMYFUNCTION("IMPORTXML(""https://pubmed.ncbi.nlm.nih.gov/""&amp;A86,""/html/body/div[5]/main/div[2]/div/p/text()"")")," Recurrent miscarriage (RM) is defined as 3 or more miscarriages before 20 
weeks' pregnancy. In recent years, interest has been focused on chronic 
endometritis (CE), a subtle inflammation thought to be associated with RM. 
We aimed to evaluate the relat"&amp;"ionships between CE and RM. The records of 
360 women with unexplained RM were retrospectively analyzed. Data from 
hysteroscopy, endometrial histology, endometrial culture, and polymerase 
chain reaction for chlamydia, performed before and after antibiot"&amp;"ic 
treatment for CE, were analyzed. The occurrence of successful pregnancies 
within 1 year after treatment was also evaluated. Results showed that 208 
(57.8%) women with RM showed CE at hysteroscopy; 190 (91.3%), positive at 
hysteroscopy, were also po"&amp;"sitive at histology, and 142 (68.3%) had positive 
cultures. Common bacteria were found in 110 (77.5%) patients. Mycoplasma 
and Ureaplasma were found in 36 (25.3%) patients and Chlamydia in 18 
patients (12.7%). In 102 (71%) women, antibiogram-based anti"&amp;"biotic 
treatment normalized hysteroscopy, histology, and cultures (group 1); while 
in 40 (28.2%) patients, CE was still present at hysteroscopy (group 2). In 
16 of the 66 patients positive at hysteroscopy, but not at cultures, the 
hysteroscopy becomes"&amp;" normal (group 3) after a Centers for Disease Control 
and Prevention-based therapy; while in 50 women, CE was still present 
(group 4). One year after treatment, group 1 showed a significantly higher 
number of pregnancies (78.4%) compared to group 2 (17"&amp;".5%; P &lt; .001) and 
group 4 (15.3%; P = .005). The CE is frequent in women with RM. Antibiotic 
treatment seems to be associated with an improved reproductive outcome. ")</f>
        <v xml:space="preserve"> Recurrent miscarriage (RM) is defined as 3 or more miscarriages before 20 
weeks' pregnancy. In recent years, interest has been focused on chronic 
endometritis (CE), a subtle inflammation thought to be associated with RM. 
We aimed to evaluate the relationships between CE and RM. The records of 
360 women with unexplained RM were retrospectively analyzed. Data from 
hysteroscopy, endometrial histology, endometrial culture, and polymerase 
chain reaction for chlamydia, performed before and after antibiotic 
treatment for CE, were analyzed. The occurrence of successful pregnancies 
within 1 year after treatment was also evaluated. Results showed that 208 
(57.8%) women with RM showed CE at hysteroscopy; 190 (91.3%), positive at 
hysteroscopy, were also positive at histology, and 142 (68.3%) had positive 
cultures. Common bacteria were found in 110 (77.5%) patients. Mycoplasma 
and Ureaplasma were found in 36 (25.3%) patients and Chlamydia in 18 
patients (12.7%). In 102 (71%) women, antibiogram-based antibiotic 
treatment normalized hysteroscopy, histology, and cultures (group 1); while 
in 40 (28.2%) patients, CE was still present at hysteroscopy (group 2). In 
16 of the 66 patients positive at hysteroscopy, but not at cultures, the 
hysteroscopy becomes normal (group 3) after a Centers for Disease Control 
and Prevention-based therapy; while in 50 women, CE was still present 
(group 4). One year after treatment, group 1 showed a significantly higher 
number of pregnancies (78.4%) compared to group 2 (17.5%; P &lt; .001) and 
group 4 (15.3%; P = .005). The CE is frequent in women with RM. Antibiotic 
treatment seems to be associated with an improved reproductive outcome. </v>
      </c>
      <c r="D80" s="8" t="s">
        <v>8</v>
      </c>
      <c r="E80" s="5"/>
      <c r="F80" s="5" t="s">
        <v>27</v>
      </c>
      <c r="G80" s="5" t="s">
        <v>28</v>
      </c>
    </row>
    <row r="81" spans="1:7" ht="12.5">
      <c r="A81" s="9">
        <v>32359875</v>
      </c>
      <c r="B81" s="10" t="s">
        <v>184</v>
      </c>
      <c r="C81" s="12" t="str">
        <f ca="1">IFERROR(__xludf.DUMMYFUNCTION("IMPORTXML(""https://pubmed.ncbi.nlm.nih.gov/""&amp;A87,""/html/body/div[5]/main/div[2]/div/p/text()"")")," Renewed interest in developing vaccines against Neisseria gonorrhoeae has 
been sparked by the increasing threat of gonococcal antimicrobial 
resistance (AMR) and growing optimism that gonococcal vaccines are 
biologically feasible. Evidence suggests ser"&amp;"ogroup B Neisseria meningitidis 
vaccines might provide some cross-protection against N. gonorrhoeae, and 
new gonococcal vaccine candidates based on several approaches are currently 
in preclinical development. To further stimulate investment and acceler"&amp;"ate 
development of gonococcal vaccines, greater understanding is needed 
regarding the overall value that gonococcal vaccines might have in 
addressing public health and societal goals in low-, middle-, and 
high-income country contexts and how future go"&amp;"nococcal vaccines might be 
accepted and used, if available. In January 2019, the World Health 
Organization (WHO) convened a multidisciplinary international group of 
experts to lay the groundwork for understanding the potential health, 
economic, and so"&amp;"cietal value of gonococcal vaccines and their likely 
acceptance and use, and for developing gonococcal vaccine preferred product 
characteristics (PPCs). WHO PPCs describe preferences for vaccine 
attributes that would help optimize vaccine value and use"&amp;" in meeting the 
global public health need. This paper describes the main discussion points 
and conclusions from the January 2019 meeting of experts. Participants 
emphasized the need for vaccines to control N. gonorrhoeae infections with 
the ultimate g"&amp;"oals of preventing adverse sexual and reproductive health 
outcomes (e.g., infertility) and reducing the impact of gonococcal AMR. 
Meeting participants also discussed important PPC considerations (e.g., 
vaccine indications, target populations, and poten"&amp;"tial immunization 
strategies) and highlighted crucial research and data needs for guiding the 
value assessment and PPCs for gonococcal vaccines and advancing gonococcal 
vaccine development. ")</f>
        <v xml:space="preserve"> 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 </v>
      </c>
      <c r="D81" s="9" t="s">
        <v>36</v>
      </c>
      <c r="E81" s="9" t="s">
        <v>37</v>
      </c>
      <c r="F81" s="9" t="s">
        <v>185</v>
      </c>
      <c r="G81" s="9" t="s">
        <v>31</v>
      </c>
    </row>
    <row r="82" spans="1:7" ht="12.5">
      <c r="A82" s="5">
        <v>26077246</v>
      </c>
      <c r="B82" s="6" t="s">
        <v>186</v>
      </c>
      <c r="C82" s="12" t="str">
        <f ca="1">IFERROR(__xludf.DUMMYFUNCTION("IMPORTXML(""https://pubmed.ncbi.nlm.nih.gov/""&amp;A88,""/html/body/div[5]/main/div[2]/div/p/text()"")")," Resistance in Neisseria gonorrhoeae against all antimicrobials available 
for the treatment of gonorrhea has emerged. The first gonococcal strains 
with high-level resistance to ceftriaxone, the last option for first-line 
empirical antimicrobial monothe"&amp;"rapy, were recently described. Consequently, 
new treatment options are essential. In this study, the in vitro activity 
of the novel spiropyrimidinetrione ETX0914 (AZD0914), a DNA topoisomerase 
II inhibitor, was investigated among contemporary consecuti"&amp;"ve clinical N. 
gonorrhoeae isolates obtained in 21 European countries and compared to the 
activities of antimicrobials currently or previously recommended for 
treatment. Consecutive clinical N. gonorrhoeae isolates (n = 873) cultured 
in 21 European co"&amp;"untries from 2012 to 2014 were examined for their 
susceptibility to ETX0914. The MICs of ETX0914 were determined using the 
agar dilution method. For comparison, the MICs of ceftriaxone, cefixime, 
azithromycin, and ciprofloxacin were determined using Et"&amp;"est or the agar 
dilution method. For ETX0914, the MIC range, modal MIC, MIC50, and MIC90 
were ≤0.002 to 0.25 mg/liter, 0.125 mg/liter, 0.064 mg/liter, and 0.125 
mg/liter, respectively. The MIC values were substantially lower than those 
of the fluoroqu"&amp;"inolone ciprofloxacin and most other antimicrobials 
examined. No cross-resistance with any other examined antimicrobial was 
observed. In conclusion, the in vitro susceptibility to the novel 
spiropyrimidinetrione ETX0914 (AZD0914) among 873 contemporary"&amp;" clinical 
isolates from 21 European countries was high, and no cross-resistance to 
antimicrobials currently or previously used for gonorrhea treatment was 
indicated. Additional studies investigating the in vitro and in vivo 
induction and mechanisms of"&amp;" ETX0914 resistance in gonococci, 
pharmacokinetics/pharmacodynamics in modeling/simulations and in humans, 
and performance in randomized controlled gonorrhea treatment trials are 
essential. ")</f>
        <v xml:space="preserve"> Resistance in Neisseria gonorrhoeae against all antimicrobials available 
for the treatment of gonorrhea has emerged. The first gonococcal strains 
with high-level resistance to ceftriaxone, the last option for first-line 
empirical antimicrobial monotherapy, were recently described. Consequently, 
new treatment options are essential. In this study, the in vitro activity 
of the novel spiropyrimidinetrione ETX0914 (AZD0914), a DNA topoisomerase 
II inhibitor, was investigated among contemporary consecutive clinical N. 
gonorrhoeae isolates obtained in 21 European countries and compared to the 
activities of antimicrobials currently or previously recommended for 
treatment. Consecutive clinical N. gonorrhoeae isolates (n = 873) cultured 
in 21 European countries from 2012 to 2014 were examined for their 
susceptibility to ETX0914. The MICs of ETX0914 were determined using the 
agar dilution method. For comparison, the MICs of ceftriaxone, cefixime, 
azithromycin, and ciprofloxacin were determined using Etest or the agar 
dilution method. For ETX0914, the MIC range, modal MIC, MIC50, and MIC90 
were ≤0.002 to 0.25 mg/liter, 0.125 mg/liter, 0.064 mg/liter, and 0.125 
mg/liter, respectively. The MIC values were substantially lower than those 
of the fluoroquinolone ciprofloxacin and most other antimicrobials 
examined. No cross-resistance with any other examined antimicrobial was 
observed. In conclusion, the in vitro susceptibility to the novel 
spiropyrimidinetrione ETX0914 (AZD0914) among 873 contemporary clinical 
isolates from 21 European countries was high, and no cross-resistance to 
antimicrobials currently or previously used for gonorrhea treatment was 
indicated. Additional studies investigating the in vitro and in vivo 
induction and mechanisms of ETX0914 resistance in gonococci, 
pharmacokinetics/pharmacodynamics in modeling/simulations and in humans, 
and performance in randomized controlled gonorrhea treatment trials are 
essential. </v>
      </c>
      <c r="D82" s="5" t="s">
        <v>20</v>
      </c>
      <c r="E82" s="5" t="s">
        <v>23</v>
      </c>
      <c r="F82" s="5" t="s">
        <v>85</v>
      </c>
      <c r="G82" s="5" t="s">
        <v>31</v>
      </c>
    </row>
    <row r="83" spans="1:7" ht="12.5">
      <c r="A83" s="9">
        <v>34529975</v>
      </c>
      <c r="B83" s="10" t="s">
        <v>187</v>
      </c>
      <c r="C83" s="10" t="str">
        <f ca="1">IFERROR(__xludf.DUMMYFUNCTION("IMPORTXML(""https://pubmed.ncbi.nlm.nih.gov/""&amp;A89&amp;""/"",""/html/body/div[5]/main/div[2]/div/p/text()"")")," Resistance to the extended-spectrum cephalosporin ceftriaxone in the 
pathogenic bacteria Neisseria gonorrhoeae is conferred by mutations in 
penicillin-binding protein 2 (PBP2), the lethal target of the antibiotic, 
but how these mutations exert their e"&amp;"ffect at the molecular level is 
unclear. Using solution NMR, X-ray crystallography, and isothermal 
titration calorimetry, we report that WT PBP2 exchanges dynamically between 
a low-affinity state with an extended β3-β4 loop conformation and a 
high-aff"&amp;"inity state with an inward β3-β4 loop conformation. Histidine-514, 
which is located at the boundary of the β4 strand, plays an important role 
during the exchange between these two conformational states. We also find 
that mutations present in PBP2 from "&amp;"H041, a ceftriaxone-resistant strain of 
N. gonorrhoeae, increase resistance to ceftriaxone by destabilizing the 
inward β3-β4 loop conformation or stabilizing the extended β3-β4 loop 
conformation to favor the low-affinity drug-binding state. These 
obse"&amp;"rvations reveal a unique mechanism for ceftriaxone resistance, whereby 
mutations in PBP2 lower the proportion of target molecules in the 
high-affinity drug-binding state and thus reduce inhibition at lower drug 
concentrations. ")</f>
        <v xml:space="preserve"> Resistance to the extended-spectrum cephalosporin ceftriaxone in the 
pathogenic bacteria Neisseria gonorrhoeae is conferred by mutations in 
penicillin-binding protein 2 (PBP2), the lethal target of the antibiotic, 
but how these mutations exert their effect at the molecular level is 
unclear. Using solution NMR, X-ray crystallography, and isothermal 
titration calorimetry, we report that WT PBP2 exchanges dynamically between 
a low-affinity state with an extended β3-β4 loop conformation and a 
high-affinity state with an inward β3-β4 loop conformation. Histidine-514, 
which is located at the boundary of the β4 strand, plays an important role 
during the exchange between these two conformational states. We also find 
that mutations present in PBP2 from H041, a ceftriaxone-resistant strain of 
N. gonorrhoeae, increase resistance to ceftriaxone by destabilizing the 
inward β3-β4 loop conformation or stabilizing the extended β3-β4 loop 
conformation to favor the low-affinity drug-binding state. These 
observations reveal a unique mechanism for ceftriaxone resistance, whereby 
mutations in PBP2 lower the proportion of target molecules in the 
high-affinity drug-binding state and thus reduce inhibition at lower drug 
concentrations. </v>
      </c>
      <c r="D83" s="9" t="s">
        <v>15</v>
      </c>
      <c r="E83" s="9" t="s">
        <v>98</v>
      </c>
      <c r="F83" s="9" t="s">
        <v>188</v>
      </c>
      <c r="G83" s="9" t="s">
        <v>41</v>
      </c>
    </row>
    <row r="84" spans="1:7" ht="12.5">
      <c r="A84" s="5">
        <v>33332296</v>
      </c>
      <c r="B84" s="6" t="s">
        <v>189</v>
      </c>
      <c r="C84" s="7" t="str">
        <f ca="1">IFERROR(__xludf.DUMMYFUNCTION("IMPORTXML(""https://pubmed.ncbi.nlm.nih.gov/""&amp;A90,""/html/body/div[5]/main/div[2]/div/p/text()"")")," Sexually transmitted infections (STIs) caused by the bacteria Neisseria 
gonorrhoeae (gonococcal infections) have increased 63% since 2014 and are a 
cause of sequelae including pelvic inflammatory disease, ectopic pregnancy, 
and infertility and can fac"&amp;"ilitate transmission of human immunodeficiency 
virus (HIV) (1,2). Effective treatment can prevent complications and 
transmission, but N. gonorrhoeae's ability to acquire antimicrobial 
resistance influences treatment recommendations and complicates cont"&amp;"rol 
(3). In 2010, CDC recommended a single 250 mg intramuscular (IM) dose of 
ceftriaxone and a single 1 g oral dose of azithromycin for treatment of 
uncomplicated gonococcal infections of the cervix, urethra, and rectum as a 
strategy for preventing ce"&amp;"ftriaxone resistance and treating possible 
coinfection with Chlamydia trachomatis (4). Increasing concern for 
antimicrobial stewardship and the potential impact of dual therapy on 
commensal organisms and concurrent pathogens (3), in conjunction with th"&amp;"e 
continued low incidence of ceftriaxone resistance and the increased 
incidence of azithromycin resistance, has led to reevaluation of this 
recommendation. This report, which updates previous guidelines (5), 
recommends a single 500 mg IM dose of ceftr"&amp;"iaxone for treatment of 
uncomplicated urogenital, anorectal, and pharyngeal gonorrhea. If 
chlamydial infection has not been excluded, concurrent treatment with 
doxycycline (100 mg orally twice a day for 7 days) is recommended. 
Continuing to monitor fo"&amp;"r emergence of ceftriaxone resistance through 
surveillance and health care providers' reporting of treatment failures is 
essential to ensuring continued efficacy of recommended regimens. ")</f>
        <v xml:space="preserve"> Sexually transmitted infections (STIs) caused by the bacteria Neisseria 
gonorrhoeae (gonococcal infections) have increased 63% since 2014 and are a 
cause of sequelae including pelvic inflammatory disease, ectopic pregnancy, 
and infertility and can facilitate transmission of human immunodeficiency 
virus (HIV) (1,2). Effective treatment can prevent complications and 
transmission, but N. gonorrhoeae's ability to acquire antimicrobial 
resistance influences treatment recommendations and complicates control 
(3). In 2010, CDC recommended a single 250 mg intramuscular (IM) dose of 
ceftriaxone and a single 1 g oral dose of azithromycin for treatment of 
uncomplicated gonococcal infections of the cervix, urethra, and rectum as a 
strategy for preventing ceftriaxone resistance and treating possible 
coinfection with Chlamydia trachomatis (4). Increasing concern for 
antimicrobial stewardship and the potential impact of dual therapy on 
commensal organisms and concurrent pathogens (3), in conjunction with the 
continued low incidence of ceftriaxone resistance and the increased 
incidence of azithromycin resistance, has led to reevaluation of this 
recommendation. This report, which updates previous guidelines (5), 
recommends a single 500 mg IM dose of ceftriaxone for treatment of 
uncomplicated urogenital, anorectal, and pharyngeal gonorrhea. If 
chlamydial infection has not been excluded, concurrent treatment with 
doxycycline (100 mg orally twice a day for 7 days) is recommended. 
Continuing to monitor for emergence of ceftriaxone resistance through 
surveillance and health care providers' reporting of treatment failures is 
essential to ensuring continued efficacy of recommended regimens. </v>
      </c>
      <c r="D84" s="8" t="s">
        <v>8</v>
      </c>
      <c r="E84" s="5"/>
      <c r="F84" s="5" t="s">
        <v>190</v>
      </c>
      <c r="G84" s="5" t="s">
        <v>118</v>
      </c>
    </row>
    <row r="85" spans="1:7" ht="12.5">
      <c r="A85" s="9">
        <v>34087923</v>
      </c>
      <c r="B85" s="10" t="s">
        <v>191</v>
      </c>
      <c r="C85" s="7" t="str">
        <f ca="1">IFERROR(__xludf.DUMMYFUNCTION("IMPORTXML(""https://pubmed.ncbi.nlm.nih.gov/""&amp;A91,""/html/body/div[5]/main/div[2]/div/p/text()"")")," Sexually transmitted infectious proctitis is an inflammatory process of 
the rectum secondary to infection by sexually transmitted germs. Neisseria 
gonorrhoeae, Chlamydia trachomatis, Treponema pallidum, and herpes simplex 
virus (HSV) are the most freq"&amp;"uently pathogens. Infectious proctitis is more 
prevalent in men who have sex with men (MSM) and in patients with human 
immunodeficiency virus (HIV) infection, however, it is also diagnosed in 
heterosexuals by changes in sexual behavior. Fecal urgency, "&amp;"purulent or 
bloody exudate, proctalgia, and tenesmus are the most common clinical 
manifestations. Detailed clinical history and a high index of suspicion are 
important to establish the diagnosis of this pathology; supported by 
endoscopic, histological"&amp;", serological, and microbiological studies. 
Empirical treatment with antibiotics or antivirals is recommended, 
depending on clinical suspicion, and other sexually transmitted infections 
(STIs) should always be ruled out. ")</f>
        <v xml:space="preserve"> Sexually transmitted infectious proctitis is an inflammatory process of 
the rectum secondary to infection by sexually transmitted germs. Neisseria 
gonorrhoeae, Chlamydia trachomatis, Treponema pallidum, and herpes simplex 
virus (HSV) are the most frequently pathogens. Infectious proctitis is more 
prevalent in men who have sex with men (MSM) and in patients with human 
immunodeficiency virus (HIV) infection, however, it is also diagnosed in 
heterosexuals by changes in sexual behavior. Fecal urgency, purulent or 
bloody exudate, proctalgia, and tenesmus are the most common clinical 
manifestations. Detailed clinical history and a high index of suspicion are 
important to establish the diagnosis of this pathology; supported by 
endoscopic, histological, serological, and microbiological studies. 
Empirical treatment with antibiotics or antivirals is recommended, 
depending on clinical suspicion, and other sexually transmitted infections 
(STIs) should always be ruled out. </v>
      </c>
      <c r="D85" s="11" t="s">
        <v>8</v>
      </c>
      <c r="E85" s="9"/>
      <c r="F85" s="9" t="s">
        <v>192</v>
      </c>
      <c r="G85" s="9" t="s">
        <v>52</v>
      </c>
    </row>
    <row r="86" spans="1:7" ht="12.5">
      <c r="A86" s="5">
        <v>23564350</v>
      </c>
      <c r="B86" s="6" t="s">
        <v>193</v>
      </c>
      <c r="C86" s="12" t="str">
        <f ca="1">IFERROR(__xludf.DUMMYFUNCTION("IMPORTXML(""https://pubmed.ncbi.nlm.nih.gov/""&amp;A92,""/html/body/div[5]/main/div[2]/div/p/text()"")")," The Centers for Disease Control and Prevention (CDC) now recommend 
combination therapy with ceftriaxone 250 mg plus azithromycin (AZM) 1 g as 
a first-line regimen for gonorrhea because the increase of Neisseria 
gonorrhoeae resistant to multiple antimi"&amp;"crobial agents. However, reports on 
the in vitro activity of antimicrobial combinations against clinical 
isolates of N. gonorrhoeae are very rare. In the present study, a 
checkerboard method was utilized to examine the in vitro activity of 
ceftriaxone"&amp;" (CTRX), cefodizime (CDZM), spectinomycin (SPCM), or gentamicin 
(GM) in combination with AZM against 25 clinical isolates of N. 
gonorrhoeae. The SPCM + AZM combination demonstrated the lowest mean 
fractional inhibitory concentration index (FICI) of 0.6"&amp;"9, followed by the 
CDZM + AZM combination (mean FICI, 0.75), the CTRX + AZM combination (mean 
FICI, 0.81), and the GM + AZM combination (mean FICI, 0.83). 
Additivity/indifference effect was detected for the SPCM + AZM combination, 
the CDZM + AZM combi"&amp;"nation, the CTRX + AZM combination, and the GM + AZM 
combination, against 96%, 72%, 92%, and 100% of the isolates, respectively. 
There was no antagonism for any of the antimicrobial combinations against 
the 25 N. gonorrhoeae isolates. These results sug"&amp;"gest that the 
antimicrobial combinations may be worthy of clinical evaluation as an 
alternative regimen for gonococcal infections caused by 
antimicrobial-resistant strains. ")</f>
        <v xml:space="preserve"> 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 </v>
      </c>
      <c r="D86" s="5" t="s">
        <v>20</v>
      </c>
      <c r="E86" s="5" t="s">
        <v>33</v>
      </c>
      <c r="F86" s="5" t="s">
        <v>167</v>
      </c>
      <c r="G86" s="5" t="s">
        <v>52</v>
      </c>
    </row>
    <row r="87" spans="1:7" ht="12.5">
      <c r="A87" s="9">
        <v>25624328</v>
      </c>
      <c r="B87" s="10" t="s">
        <v>194</v>
      </c>
      <c r="C87" s="12" t="str">
        <f ca="1">IFERROR(__xludf.DUMMYFUNCTION("IMPORTXML(""https://pubmed.ncbi.nlm.nih.gov/""&amp;A93,""/html/body/div[5]/main/div[2]/div/p/text()"")")," The development of resistance to first-line antimicrobial therapies has 
led to recommendations for combination therapies for the treatment of 
gonorrhea infection. Recent studies have shown the success of combination 
therapies in treating patients, but"&amp;" few have reported on the in vitro 
activities of these drug combinations. An in vitro assessment of 
azithromycin in combination with gentamicin demonstrated inhibition of 
growth and suggests that clinical trials may be warranted to assess the 
utility "&amp;"of this combination in treating gonorrhea infections. ")</f>
        <v xml:space="preserve"> 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 </v>
      </c>
      <c r="D87" s="9" t="s">
        <v>20</v>
      </c>
      <c r="E87" s="9" t="s">
        <v>33</v>
      </c>
      <c r="F87" s="9" t="s">
        <v>126</v>
      </c>
      <c r="G87" s="9" t="s">
        <v>118</v>
      </c>
    </row>
    <row r="88" spans="1:7" ht="12.5">
      <c r="A88" s="5">
        <v>23705013</v>
      </c>
      <c r="B88" s="6" t="s">
        <v>195</v>
      </c>
      <c r="C88" s="12" t="str">
        <f ca="1">IFERROR(__xludf.DUMMYFUNCTION("IMPORTXML(""https://pubmed.ncbi.nlm.nih.gov/""&amp;A94,""/html/body/div[5]/main/div[2]/div/p/text()"")")," The emergence and spread of antibiotic-resistant Neisseria gonorrhoeae has 
led to difficulties in treating patients, and novel strategies to prevent 
and treat this infection are urgently needed. Here, we examined 21 
different nanomaterials for their p"&amp;"otential activity against N. gonorrhoeae 
(ATCC 49226). Silver nanoparticles (Ag NPs, 120 nm) showed the greatest 
potency for reducing N. gonorrhoeae colony formation (MIC: 12.5 µg/ml) and 
possessed the dominant influence on the antibacterial activity w"&amp;"ith their 
properties of the nanoparticles within a concentration range that did not 
induce cytotoxicity in human fibroblasts or epithelial cells. Electron 
microscopy revealed that the Ag NPs significantly reduced bacterial cell 
membrane integrity. Fur"&amp;"thermore, the use of clinical isolates of 
multidrug-resistant N. gonorrhoeae showed that combined treatment with 120 
nm Ag NPs and cefmetazole produced additive effects. This is the first 
report to screen the effectiveness of nanomaterials against N. g"&amp;"onorrhoeae, 
and our results indicate that 120 nm Ag NPs deliver low levels of toxicity 
to human epithelial cells and could be used as an adjuvant with antibiotic 
therapy, either for topical use or as a coating for biomaterials, to 
prevent or treat mul"&amp;"tidrug-resistant N. gonorrhoeae. ")</f>
        <v xml:space="preserve"> The emergence and spread of antibiotic-resistant Neisseria gonorrhoeae has 
led to difficulties in treating patients, and novel strategies to prevent 
and treat this infection are urgently needed. Here, we examined 21 
different nanomaterials for their potential activity against N. gonorrhoeae 
(ATCC 49226). Silver nanoparticles (Ag NPs, 120 nm) showed the greatest 
potency for reducing N. gonorrhoeae colony formation (MIC: 12.5 µg/ml) and 
possessed the dominant influence on the antibacterial activity with their 
properties of the nanoparticles within a concentration range that did not 
induce cytotoxicity in human fibroblasts or epithelial cells. Electron 
microscopy revealed that the Ag NPs significantly reduced bacterial cell 
membrane integrity. Furthermore, the use of clinical isolates of 
multidrug-resistant N. gonorrhoeae showed that combined treatment with 120 
nm Ag NPs and cefmetazole produced additive effects. This is the first 
report to screen the effectiveness of nanomaterials against N. gonorrhoeae, 
and our results indicate that 120 nm Ag NPs deliver low levels of toxicity 
to human epithelial cells and could be used as an adjuvant with antibiotic 
therapy, either for topical use or as a coating for biomaterials, to 
prevent or treat multidrug-resistant N. gonorrhoeae. </v>
      </c>
      <c r="D88" s="5" t="s">
        <v>20</v>
      </c>
      <c r="E88" s="5" t="s">
        <v>33</v>
      </c>
      <c r="F88" s="5" t="s">
        <v>196</v>
      </c>
      <c r="G88" s="5" t="s">
        <v>49</v>
      </c>
    </row>
    <row r="89" spans="1:7" ht="12.5">
      <c r="A89" s="9">
        <v>31119622</v>
      </c>
      <c r="B89" s="10" t="s">
        <v>197</v>
      </c>
      <c r="C89" s="12" t="str">
        <f ca="1">IFERROR(__xludf.DUMMYFUNCTION("IMPORTXML(""https://pubmed.ncbi.nlm.nih.gov/""&amp;A95,""/html/body/div[5]/main/div[2]/div/p/text()"")")," The emergence and spread of fully antimicrobial resistant Neisseria 
gonorrhoeae (GC) highlights a clear need for next-generation antigonococcal 
therapeutics. A broadly reactive anti-GC vaccine would best address this 
global public health threat. Polya"&amp;"ntigenic outer membrane vesicles (OMVs) 
derived from GC can overcome the challenges posed by GC's high rate of 
phase and antigen variation. In fact, GC OMVs have already shown promise as 
a vaccine antigen; however, all previous studies have utilized ve"&amp;"sicles 
contaminated by RMP, a bacterioprotective antigen known to entirely 
abrogate vaccine-induced bactericidal activity in vivo. Additionally, these 
studies primarily utilized vesicles isolated through techniques like 
membrane disruption with deterg"&amp;"ents, which are known to increase 
contamination of cytoplasmic components as compared to naturally released 
OMVs (nOMVs). This chapter describes the isolation and characterization of 
naturally released nOMVs through sequential size and weight restricti"&amp;"ve 
filtration. nOMVs are characterized by morphology, proteomics, and 
bioactivity via various methods. Herein we also describe methods for 
further evaluation of the innate and induced immunogenicity of 
rmp-deficient GC nOMVs by cell stimulation and mu"&amp;"rine vaccination. Per 
these methods, nOMVs are found to be largely homogenous spherical 
structures approximately 70 nm in diameter containing a consistent subset 
of GC outer membrane proteins. The rmp-deficient vesicles demonstrate a 
morphology and, w"&amp;"ith the exception of RMP, antigenic profile consistent 
with that of nOMVs derived from wild time N. gonorrhoeae. Additionally, 
vesicles lacking RMP are able to engage and strongly activate a diverse 
array of pattern recognition receptors in vitro. Thes"&amp;"e methods lay the 
groundwork for future experiments examining the in vivo protective efficacy 
of the anti-GC response induced by these nOMVs as well as studies examining 
the mechanism of vaccine induced female genital tract immunity. ")</f>
        <v xml:space="preserve"> The emergence and spread of fully antimicrobial resistant Neisseria 
gonorrhoeae (GC) highlights a clear need for next-generation antigonococcal 
therapeutics. A broadly reactive anti-GC vaccine would best address this 
global public health threat. Polyantigenic outer membrane vesicles (OMVs) 
derived from GC can overcome the challenges posed by GC's high rate of 
phase and antigen variation. In fact, GC OMVs have already shown promise as 
a vaccine antigen; however, all previous studies have utilized vesicles 
contaminated by RMP, a bacterioprotective antigen known to entirely 
abrogate vaccine-induced bactericidal activity in vivo. Additionally, these 
studies primarily utilized vesicles isolated through techniques like 
membrane disruption with detergents, which are known to increase 
contamination of cytoplasmic components as compared to naturally released 
OMVs (nOMVs). This chapter describes the isolation and characterization of 
naturally released nOMVs through sequential size and weight restrictive 
filtration. nOMVs are characterized by morphology, proteomics, and 
bioactivity via various methods. Herein we also describe methods for 
further evaluation of the innate and induced immunogenicity of 
rmp-deficient GC nOMVs by cell stimulation and murine vaccination. Per 
these methods, nOMVs are found to be largely homogenous spherical 
structures approximately 70 nm in diameter containing a consistent subset 
of GC outer membrane proteins. The rmp-deficient vesicles demonstrate a 
morphology and, with the exception of RMP, antigenic profile consistent 
with that of nOMVs derived from wild time N. gonorrhoeae. Additionally, 
vesicles lacking RMP are able to engage and strongly activate a diverse 
array of pattern recognition receptors in vitro. These methods lay the 
groundwork for future experiments examining the in vivo protective efficacy 
of the anti-GC response induced by these nOMVs as well as studies examining 
the mechanism of vaccine induced female genital tract immunity. </v>
      </c>
      <c r="D89" s="9" t="s">
        <v>36</v>
      </c>
      <c r="E89" s="9" t="s">
        <v>37</v>
      </c>
      <c r="F89" s="9">
        <v>2019</v>
      </c>
      <c r="G89" s="9" t="s">
        <v>52</v>
      </c>
    </row>
    <row r="90" spans="1:7" ht="12.5">
      <c r="A90" s="5">
        <v>26690658</v>
      </c>
      <c r="B90" s="6" t="s">
        <v>198</v>
      </c>
      <c r="C90" s="7" t="str">
        <f ca="1">IFERROR(__xludf.DUMMYFUNCTION("IMPORTXML(""https://pubmed.ncbi.nlm.nih.gov/""&amp;A96,""/html/body/div[5]/main/div[2]/div/p/text()"")")," The emergence of high-level resistance to ceftriaxone is giving rise to 
serious concern about absence of effective treatment options to cure 
gonococcal infections. Increasing the dosage regimen can be applied to 
ceftriaxone and azithromycin, but the e"&amp;"mergence of high-level resistance 
has already been reported. Spectinomycin is another active drug but has low 
efficacy in the treatment of pharyngeal gonorrhoea. Conventional 
antibiotics could be introduced for gonococcal treatment, but they have 
some"&amp;" limitations, such as the absence of clinical trials and breakpoint. 
Combining antibiotics is another promising method to cure patients and to 
prevent the emergence of resistance. The most important strategy to 
maintain the efficacy of antibiotics is r"&amp;"apid detection and dissemination 
control of novel resistant isolate. ")</f>
        <v xml:space="preserve"> The emergence of high-level resistance to ceftriaxone is giving rise to 
serious concern about absence of effective treatment options to cure 
gonococcal infections. Increasing the dosage regimen can be applied to 
ceftriaxone and azithromycin, but the emergence of high-level resistance 
has already been reported. Spectinomycin is another active drug but has low 
efficacy in the treatment of pharyngeal gonorrhoea. Conventional 
antibiotics could be introduced for gonococcal treatment, but they have 
some limitations, such as the absence of clinical trials and breakpoint. 
Combining antibiotics is another promising method to cure patients and to 
prevent the emergence of resistance. The most important strategy to 
maintain the efficacy of antibiotics is rapid detection and dissemination 
control of novel resistant isolate. </v>
      </c>
      <c r="D90" s="8" t="s">
        <v>8</v>
      </c>
      <c r="E90" s="5"/>
      <c r="F90" s="5">
        <v>2016</v>
      </c>
      <c r="G90" s="5" t="s">
        <v>31</v>
      </c>
    </row>
    <row r="91" spans="1:7" ht="12.5">
      <c r="A91" s="9">
        <v>28771632</v>
      </c>
      <c r="B91" s="10" t="s">
        <v>199</v>
      </c>
      <c r="C91" s="12" t="str">
        <f ca="1">IFERROR(__xludf.DUMMYFUNCTION("IMPORTXML(""https://pubmed.ncbi.nlm.nih.gov/""&amp;A97,""/html/body/div[5]/main/div[2]/div/p/text()"")")," The emergence of multi-drug resistant Neisseria gonorrhoeae has generated 
an urgent need for novel therapies or a vaccine to prevent gonococcal 
disease. In this study we investigate the potential of targeting the 
surface exposed nitrite reductase, Ani"&amp;"A, to block activity by producing 
functional blocking antibodies. AniA activity is essential for anaerobic 
growth and biofilm formation of N. gonorrhoeae and functional blocking 
antibodies may prevent colonisation and disease. Seven peptides covering 
"&amp;"regions adjacent to the active site were designed based on the AniA 
structure. Six of the seven peptide conjugates generated immune responses. 
Peptide 7, GALGQLKVEGAEN, was able to elicit antibodies capable of blocking 
AniA activity. Antiserum raised a"&amp;"gainst the peptide 7 conjugate detected 
AniA in 20 N. gonorrhoeae clinical isolates. Recombinant AniA protein 
antigens were also assessed in this study and generated high-titre, 
functional blocking antibody responses. Peptide 7 conjugates or truncated "&amp;"
recombinant AniA antigens have potential for inclusion in a vaccine against 
N. gonorrhoeae. ")</f>
        <v xml:space="preserve"> 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 </v>
      </c>
      <c r="D91" s="9" t="s">
        <v>36</v>
      </c>
      <c r="E91" s="9" t="s">
        <v>37</v>
      </c>
      <c r="F91" s="9" t="s">
        <v>200</v>
      </c>
      <c r="G91" s="9" t="s">
        <v>86</v>
      </c>
    </row>
    <row r="92" spans="1:7" ht="12.5">
      <c r="A92" s="5">
        <v>24184420</v>
      </c>
      <c r="B92" s="6" t="s">
        <v>201</v>
      </c>
      <c r="C92" s="12" t="str">
        <f ca="1">IFERROR(__xludf.DUMMYFUNCTION("IMPORTXML(""https://pubmed.ncbi.nlm.nih.gov/""&amp;A98,""/html/body/div[5]/main/div[2]/div/p/text()"")")," The emergence of multidrug-resistant strains of Neisseria gonorrhoeae 
constitutes a serious threat to public health and necessitates the 
discovery of new types of antimicrobial agents. Among the 18 clinical 
isolates of N. gonorrhoeae with susceptible "&amp;"to spectinomycin, ceftriaxone 
and cefixime, 14 isolates were resistance to penicillin, tetracycline and 
ciprofloxacin, while 2 isolates were susceptible to tetracycline and 
another was penicillin intermediate isolate. Significant differences 
between l"&amp;"aboratory strain and multidrug resistant strains were revealed by 
means of matrix-assisted laser desorption/ionization time-of-flight mass 
spectrometry profiling and bioinformatics examination using the MALDI 
BioTyper software. However, Maldi Biotyper "&amp;"was not successfully separated 
ciprofloxacin-penicillin resistance and ciprofloxacin-tetracycline 
resistance from ciprofloxacin-penicillin-tetracycline resistant N. 
gonorrhoeae isolates. BmKn2 is a basic, alpha-helical peptide with no 
disulfide-bridge"&amp;" venom peptides that was first isolated from Buthus 
martensii Kasch. A panel of BmKn2 scorpion venom peptide and its 
derivatives of varying length and characteristics were synthesized 
chemically and evaluated for their ability to inhibit the growth of "&amp;"
clinical N. gonorrhoeae isolates. Synthetic BmKn2 displayed potent activity 
against 18 clinical isolates of N. gonorrhoeae with MIC50 values of 
6.9-27.6 μM. BmKn2 exerted its antibacterial activity via a bactericidal 
mechanism. Cyclic BmKn1 did not sh"&amp;"ow antigonococcal activity. Decreasing 
the cationicity and helix percentage at the C-terminus of BmKn2 reduced the 
potency against N. gonorrhoeae. Taken together, the BmKn1 peptide can be 
developed as a topical therapeutic agent for treating multidrug-"&amp;"resistant 
strains of N. gonorrhoeae infections. ")</f>
        <v xml:space="preserve"> The emergence of multidrug-resistant strains of Neisseria gonorrhoeae 
constitutes a serious threat to public health and necessitates the 
discovery of new types of antimicrobial agents. Among the 18 clinical 
isolates of N. gonorrhoeae with susceptible to spectinomycin, ceftriaxone 
and cefixime, 14 isolates were resistance to penicillin, tetracycline and 
ciprofloxacin, while 2 isolates were susceptible to tetracycline and 
another was penicillin intermediate isolate. Significant differences 
between laboratory strain and multidrug resistant strains were revealed by 
means of matrix-assisted laser desorption/ionization time-of-flight mass 
spectrometry profiling and bioinformatics examination using the MALDI 
BioTyper software. However, Maldi Biotyper was not successfully separated 
ciprofloxacin-penicillin resistance and ciprofloxacin-tetracycline 
resistance from ciprofloxacin-penicillin-tetracycline resistant N. 
gonorrhoeae isolates. BmKn2 is a basic, alpha-helical peptide with no 
disulfide-bridge venom peptides that was first isolated from Buthus 
martensii Kasch. A panel of BmKn2 scorpion venom peptide and its 
derivatives of varying length and characteristics were synthesized 
chemically and evaluated for their ability to inhibit the growth of 
clinical N. gonorrhoeae isolates. Synthetic BmKn2 displayed potent activity 
against 18 clinical isolates of N. gonorrhoeae with MIC50 values of 
6.9-27.6 μM. BmKn2 exerted its antibacterial activity via a bactericidal 
mechanism. Cyclic BmKn1 did not show antigonococcal activity. Decreasing 
the cationicity and helix percentage at the C-terminus of BmKn2 reduced the 
potency against N. gonorrhoeae. Taken together, the BmKn1 peptide can be 
developed as a topical therapeutic agent for treating multidrug-resistant 
strains of N. gonorrhoeae infections. </v>
      </c>
      <c r="D92" s="5" t="s">
        <v>20</v>
      </c>
      <c r="E92" s="5" t="s">
        <v>60</v>
      </c>
      <c r="F92" s="5" t="s">
        <v>114</v>
      </c>
      <c r="G92" s="5" t="s">
        <v>13</v>
      </c>
    </row>
    <row r="93" spans="1:7" ht="12.5">
      <c r="A93" s="9">
        <v>22882265</v>
      </c>
      <c r="B93" s="10" t="s">
        <v>202</v>
      </c>
      <c r="C93" s="12" t="str">
        <f ca="1">IFERROR(__xludf.DUMMYFUNCTION("IMPORTXML(""https://pubmed.ncbi.nlm.nih.gov/""&amp;A99,""/html/body/div[5]/main/div[2]/div/p/text()"")")," The first cross-protective Neisseria meningitidis vaccine (focus on 
serogroup B), the protein-based 4 component meningococcus serogroup B 
(4CMenB), includes the New Zealand outer membrane vesicle and three main 
genome-derived neisserial antigens (GNAs"&amp;"). These GNAs are fHbp (fused to 
GNA2091), NHBA (fused to GNA1030) and NadA. In this study, the prevalence 
and polymorphisms of the nucleotide and amino acid sequences of the 4CMenB 
antigens in a temporally and geographically diverse collection of N. 
"&amp;"gonorrhoeae isolates (n = 111) were investigated. All the examined GNA 
genes, except the nadA gene, were present in all gonococcal isolates. 
However, 25 isolates contained premature stop codons in the fHbp gene 
and/or the nhba gene, resulting in trunca"&amp;"ted proteins. Compared with the 
4CMenB antigen sequences in reference strain MC58, the gonococcal strains 
displayed 67.0-95.4% and 60.9-94.9% identity in nucleotide sequence and 
amino acid sequence, respectively, in the equivalent GNA antigens. The 
ab"&amp;"sence of NadA, lack of universal expression of fHbp and NHBA and the 
uncertainty regarding the surface exposure of fHbp as well as the function 
of NHBA in N. gonorrhoeae will likely limit the use of the identical 4CMenB 
antigens in a gonococcal vaccine"&amp;". However, possible cross-immunity of 
4CMenB with gonococci and expression and function of the equivalent 
gonococcal GNAs, as well as of more appropriate GNAs for a gonococcal 
vaccine, need to be further examined. ")</f>
        <v xml:space="preserve"> The first cross-protective Neisseria meningitidis vaccine (focus on 
serogroup B), the protein-based 4 component meningococcus serogroup B 
(4CMenB), includes the New Zealand outer membrane vesicle and three main 
genome-derived neisserial antigens (GNAs). These GNAs are fHbp (fused to 
GNA2091), NHBA (fused to GNA1030) and NadA. In this study, the prevalence 
and polymorphisms of the nucleotide and amino acid sequences of the 4CMenB 
antigens in a temporally and geographically diverse collection of N. 
gonorrhoeae isolates (n = 111) were investigated. All the examined GNA 
genes, except the nadA gene, were present in all gonococcal isolates. 
However, 25 isolates contained premature stop codons in the fHbp gene 
and/or the nhba gene, resulting in truncated proteins. Compared with the 
4CMenB antigen sequences in reference strain MC58, the gonococcal strains 
displayed 67.0-95.4% and 60.9-94.9% identity in nucleotide sequence and 
amino acid sequence, respectively, in the equivalent GNA antigens. The 
absence of NadA, lack of universal expression of fHbp and NHBA and the 
uncertainty regarding the surface exposure of fHbp as well as the function 
of NHBA in N. gonorrhoeae will likely limit the use of the identical 4CMenB 
antigens in a gonococcal vaccine. However, possible cross-immunity of 
4CMenB with gonococci and expression and function of the equivalent 
gonococcal GNAs, as well as of more appropriate GNAs for a gonococcal 
vaccine, need to be further examined. </v>
      </c>
      <c r="D93" s="9" t="s">
        <v>36</v>
      </c>
      <c r="E93" s="9" t="s">
        <v>37</v>
      </c>
      <c r="F93" s="9" t="s">
        <v>203</v>
      </c>
      <c r="G93" s="9" t="s">
        <v>28</v>
      </c>
    </row>
    <row r="94" spans="1:7" ht="12.5">
      <c r="A94" s="5">
        <v>25845238</v>
      </c>
      <c r="B94" s="6" t="s">
        <v>204</v>
      </c>
      <c r="C94" s="6" t="str">
        <f ca="1">IFERROR(__xludf.DUMMYFUNCTION("IMPORTXML(""https://pubmed.ncbi.nlm.nih.gov/""&amp;A100,""/html/body/div[5]/main/div[2]/div/p/text()"")")," The goal of the study was to identify amino acid replacements in the 
structure of penicillin-binding protein PBP2, which may influence on the 
development of resistance N. gonorhoeae to the III cephalosporins 
generation. The gene penA of 50 strains of "&amp;"N. gonorrhoeae was sequenced: 20 
strains with high sensitivity to ceftriaxone (MIC, Minimum Inhibitory 
Concentration, = 0.002 mg/L) and 30 strains with decreased sensitivity to 
ceftriaxone (MIC = 0.03-0.25 mg/L). The difference of MIC sensitivity 
betw"&amp;"een these strains was 30-250 times. Then nucleotide sequence was 
transformed into the amino acid sequence of PBP2 protein. Mutations in the 
gene penA and amino acid replacements in the protein PBP2 were found in 16 
of 20 strains (80%) with high sensiti"&amp;"vity to ceftriaxone and in all strains 
with decreased sensitivity to ceftriaxone. Amino acid replacements in the 
PBP2 protein were compared with amino acid replacements in groups, which 
characterize the PBP2 structure in accordance with the internation"&amp;"al 
classification Ito M. The amino acid replacement of PBP2 at positions 346, 
505, 511, 517, 543, 567, 575, 576 are associated with V group by Ito M and 
have features of resistance of N. gonorrhoeae to ceftriaxone authentically 
(OR = 3.9 ± 2.5; χ2 = 4"&amp;".9; p &lt; 0.05). It was shown that the replacement of 
glycine to serine at position 543 of PBP2 in the analyzed strains induced 
the multiple increase of resistance to ceftriaxone. These data may be 
significant as showing strong influence of amino acid re"&amp;"placements at 
positions 346, 505, 511, 517, 567, 575 and, in particular, 543 for 
development of resistance N. gonorrhoeae strains to ceftriaxone. ")</f>
        <v xml:space="preserve"> The goal of the study was to identify amino acid replacements in the 
structure of penicillin-binding protein PBP2, which may influence on the 
development of resistance N. gonorhoeae to the III cephalosporins 
generation. The gene penA of 50 strains of N. gonorrhoeae was sequenced: 20 
strains with high sensitivity to ceftriaxone (MIC, Minimum Inhibitory 
Concentration, = 0.002 mg/L) and 30 strains with decreased sensitivity to 
ceftriaxone (MIC = 0.03-0.25 mg/L). The difference of MIC sensitivity 
between these strains was 30-250 times. Then nucleotide sequence was 
transformed into the amino acid sequence of PBP2 protein. Mutations in the 
gene penA and amino acid replacements in the protein PBP2 were found in 16 
of 20 strains (80%) with high sensitivity to ceftriaxone and in all strains 
with decreased sensitivity to ceftriaxone. Amino acid replacements in the 
PBP2 protein were compared with amino acid replacements in groups, which 
characterize the PBP2 structure in accordance with the international 
classification Ito M. The amino acid replacement of PBP2 at positions 346, 
505, 511, 517, 543, 567, 575, 576 are associated with V group by Ito M and 
have features of resistance of N. gonorrhoeae to ceftriaxone authentically 
(OR = 3.9 ± 2.5; χ2 = 4.9; p &lt; 0.05). It was shown that the replacement of 
glycine to serine at position 543 of PBP2 in the analyzed strains induced 
the multiple increase of resistance to ceftriaxone. These data may be 
significant as showing strong influence of amino acid replacements at 
positions 346, 505, 511, 517, 567, 575 and, in particular, 543 for 
development of resistance N. gonorrhoeae strains to ceftriaxone. </v>
      </c>
      <c r="D94" s="5" t="s">
        <v>15</v>
      </c>
      <c r="E94" s="5" t="s">
        <v>16</v>
      </c>
      <c r="F94" s="5" t="s">
        <v>205</v>
      </c>
      <c r="G94" s="5" t="s">
        <v>73</v>
      </c>
    </row>
    <row r="95" spans="1:7" ht="12.5">
      <c r="A95" s="9">
        <v>26394998</v>
      </c>
      <c r="B95" s="10" t="s">
        <v>206</v>
      </c>
      <c r="C95" s="7" t="str">
        <f ca="1">IFERROR(__xludf.DUMMYFUNCTION("IMPORTXML(""https://pubmed.ncbi.nlm.nih.gov/""&amp;A101,""/html/body/div[5]/main/div[2]/div/p/text()"")")," The indolent nature of chlamydia and gonorrhoea, along with the time delay 
associated with current diagnostic testing, makes definitive diagnosis 
while in the emergency department impossible. We therefore sought to 
determine the proportion of patients"&amp;" who receive accurate, presumptive 
antimicrobial treatment for these infections. A retrospective chart review 
was performed on all patient encounters that underwent chlamydia and 
gonorrhoea testing at an urban emergency department during a single month"&amp;" 
in 2012. Each encounter was reviewed for nucleic acid amplification test 
results and whether presumptive antibiotics were given during the initial 
visit. A total of 639 patient encounters were reviewed; 87.2% were female 
and the mean age was 26.7 yea"&amp;"rs. Chlamydia was present in 11.1%, with women 
and men having similar infection rates: 10.6% vs. 14.6% (p = 0.277). 
Gonorrhoea was present in 5.0%, with a lower prevalence among women than 
men: 3.2% vs. 17.1% (p &lt; 0.001). Women received presumptive tre"&amp;"atment less 
often than men: 37.7% vs. 82.9% (p &lt; 0.001). Presumptive treatment was less 
accurate in women than men: 7.9% vs. 25.6% (p &lt; 0.001). After combining 
genders, 10.2% received accurate presumptive treatment; 33.3% were 
overtreated and 4.4% mis"&amp;"sed treatment. Presumptive treatment for chlamydia 
and gonorrhoea was more frequent and more accurate in men than in women. 
Overall, one-third of patients received unnecessary antibiotics, yet nearly 
5% missed treatment. Better methods are needed for i"&amp;"dentifying patients who 
need treatment. ")</f>
        <v xml:space="preserve"> The indolent nature of chlamydia and gonorrhoea, along with the time delay 
associated with current diagnostic testing, makes definitive diagnosis 
while in the emergency department impossible. We therefore sought to 
determine the proportion of patients who receive accurate, presumptive 
antimicrobial treatment for these infections. A retrospective chart review 
was performed on all patient encounters that underwent chlamydia and 
gonorrhoea testing at an urban emergency department during a single month 
in 2012. Each encounter was reviewed for nucleic acid amplification test 
results and whether presumptive antibiotics were given during the initial 
visit. A total of 639 patient encounters were reviewed; 87.2% were female 
and the mean age was 26.7 years. Chlamydia was present in 11.1%, with women 
and men having similar infection rates: 10.6% vs. 14.6% (p = 0.277). 
Gonorrhoea was present in 5.0%, with a lower prevalence among women than 
men: 3.2% vs. 17.1% (p &lt; 0.001). Women received presumptive treatment less 
often than men: 37.7% vs. 82.9% (p &lt; 0.001). Presumptive treatment was less 
accurate in women than men: 7.9% vs. 25.6% (p &lt; 0.001). After combining 
genders, 10.2% received accurate presumptive treatment; 33.3% were 
overtreated and 4.4% missed treatment. Presumptive treatment for chlamydia 
and gonorrhoea was more frequent and more accurate in men than in women. 
Overall, one-third of patients received unnecessary antibiotics, yet nearly 
5% missed treatment. Better methods are needed for identifying patients who 
need treatment. </v>
      </c>
      <c r="D95" s="11" t="s">
        <v>8</v>
      </c>
      <c r="E95" s="9"/>
      <c r="F95" s="9" t="s">
        <v>153</v>
      </c>
      <c r="G95" s="9" t="s">
        <v>73</v>
      </c>
    </row>
    <row r="96" spans="1:7" ht="12.5">
      <c r="A96" s="5">
        <v>33632090</v>
      </c>
      <c r="B96" s="6" t="s">
        <v>207</v>
      </c>
      <c r="C96" s="12" t="str">
        <f ca="1">IFERROR(__xludf.DUMMYFUNCTION("IMPORTXML(""https://pubmed.ncbi.nlm.nih.gov/""&amp;A102,""/html/body/div[5]/main/div[2]/div/p/text()"")")," The key issues with Neisseria gonorrhoeae infections, in Australia and 
elsewhere, are coincident increases in disease rates and in antimicrobial 
resistance (AMR), although these factors have not been shown to be 
correlated. Despite advances in diagnos"&amp;"is, control of this disease remains 
elusive, and incidence in Australia continues to increase. Of the 
Australian jurisdictions, New South Wales (NSW) has the highest N. 
gonorrhoeae notifications, and over the five-year period 2015-2019, 
notifications "&amp;"in NSW have increased above the national average (by 116% 
versus 85%, respectively). Gonococcal disease control is reliant on 
effective antibiotic regimens. However, escalating AMR in N. gonorrhoeae is 
a global health priority, as the collateral injury"&amp;" of untreated infections 
has substantive impacts on sexual and newborn health. Currently, our 
first-line therapy for gonorrhoea is also our last line, with no ideal 
alternative identified. Despite some limitations, gentamicin is licensed 
and readily a"&amp;"vailable in Australia, and is proposed for treatment of 
resistant N. gonorrhoeae in national guidelines; however, supportive 
published microbiological data are lacking. Analysis of gonococcal 
resistance patterns within Australia for the period 1991-201"&amp;"9, including 
35,000 clinical isolates from NSW, illustrates the establishment and spread 
of population-level resistance to all contemporaneous therapies. An 
analysis of gentamicin susceptibility on 2,768 N. gonorrhoeae clinical 
isolates from NSW, for "&amp;"the period 2015-2020, demonstrates that the median 
minimum inhibitory concentration (MIC) for gentamicin in NSW has remained 
low, at 4.0 mg/L, and resistance was not detected in any isolate. There has 
been no demonstration of MIC drift over time (p = 0"&amp;".91, Kruskal-Wallis 
test), nor differences in MIC distributions according to patients' sex or 
site of specimen collection. This is the first large-scale evaluation of 
gentamicin susceptibility in N. gonorrhoeae in Australia. No gentamicin 
resistance w"&amp;"as detected in clinical isolates, 2015-2020, hence this is 
likely to be an available treatment option for resistant gonococcal 
infections in NSW. ")</f>
        <v xml:space="preserve"> 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 </v>
      </c>
      <c r="D96" s="5" t="s">
        <v>20</v>
      </c>
      <c r="E96" s="5" t="s">
        <v>23</v>
      </c>
      <c r="F96" s="5" t="s">
        <v>208</v>
      </c>
      <c r="G96" s="5" t="s">
        <v>49</v>
      </c>
    </row>
    <row r="97" spans="1:7" ht="12.5">
      <c r="A97" s="9">
        <v>26092579</v>
      </c>
      <c r="B97" s="10" t="s">
        <v>209</v>
      </c>
      <c r="C97" s="7" t="str">
        <f ca="1">IFERROR(__xludf.DUMMYFUNCTION("IMPORTXML(""https://pubmed.ncbi.nlm.nih.gov/""&amp;A103,""/html/body/div[5]/main/div[2]/div/p/text()"")")," The objective of this study was to assess the length of time service users 
were prepared to wait for chlamydia and gonorrhoea (CT/GC) 
near-patient/point-of-care test (NP-POCT) results and to determine the 
possible effect on management. Individuals att"&amp;"ending two UK clinics from 
November 2013 to February 2014 were surveyed asking the maximum length of 
time they would wait for CT/GC NP-POCT results after consultation. Linked 
CT/GC prevalence and treatment rates were analysed. A total of 1817 
particip"&amp;"ants were surveyed, and 1356 provided CT/GC NAAT samples, in which 
it was found that 115 (8.5%) could wait over 90 minutes in clinic for their 
result. 115 received treatment at consultation, of which 50 were CT/GC 
negative and 12 were treated for ureth"&amp;"ritis or cervicitis; 38 attended as 
CT/GC contacts. Six of this population would have waited over 90 minutes 
were NP-POCTs available. A total of 129 tested CT/GC positive, of whom 65 
were treated at their consultation, 61 at a later date, and three wer"&amp;"e 
untreated. Twelve of these 129 patients would also have waited over 90 
minutes for a NP-POCT result. We conclude that 90-minute NP-POCTs are not 
acceptable to most clinic attendees and would not have impacted on 
treatment rates or inappropriate pres"&amp;"cribing, and 20-minute NP-POCTs show a 
marginal benefit in treating CT/GC. While NP-POCTs for CT/GC are promising, 
they must meet client expectations and enhance disease management in order 
to be accepted by patients and clinicians. ")</f>
        <v xml:space="preserve"> The objective of this study was to assess the length of time service users 
were prepared to wait for chlamydia and gonorrhoea (CT/GC) 
near-patient/point-of-care test (NP-POCT) results and to determine the 
possible effect on management. Individuals attending two UK clinics from 
November 2013 to February 2014 were surveyed asking the maximum length of 
time they would wait for CT/GC NP-POCT results after consultation. Linked 
CT/GC prevalence and treatment rates were analysed. A total of 1817 
participants were surveyed, and 1356 provided CT/GC NAAT samples, in which 
it was found that 115 (8.5%) could wait over 90 minutes in clinic for their 
result. 115 received treatment at consultation, of which 50 were CT/GC 
negative and 12 were treated for urethritis or cervicitis; 38 attended as 
CT/GC contacts. Six of this population would have waited over 90 minutes 
were NP-POCTs available. A total of 129 tested CT/GC positive, of whom 65 
were treated at their consultation, 61 at a later date, and three were 
untreated. Twelve of these 129 patients would also have waited over 90 
minutes for a NP-POCT result. We conclude that 90-minute NP-POCTs are not 
acceptable to most clinic attendees and would not have impacted on 
treatment rates or inappropriate prescribing, and 20-minute NP-POCTs show a 
marginal benefit in treating CT/GC. While NP-POCTs for CT/GC are promising, 
they must meet client expectations and enhance disease management in order 
to be accepted by patients and clinicians. </v>
      </c>
      <c r="D97" s="11" t="s">
        <v>8</v>
      </c>
      <c r="E97" s="9"/>
      <c r="F97" s="9" t="s">
        <v>210</v>
      </c>
      <c r="G97" s="9" t="s">
        <v>73</v>
      </c>
    </row>
    <row r="98" spans="1:7" ht="12.5">
      <c r="A98" s="5">
        <v>29883770</v>
      </c>
      <c r="B98" s="6" t="s">
        <v>211</v>
      </c>
      <c r="C98" s="12" t="str">
        <f ca="1">IFERROR(__xludf.DUMMYFUNCTION("IMPORTXML(""https://pubmed.ncbi.nlm.nih.gov/""&amp;A104,""/html/body/div[5]/main/div[2]/div/p/text()"")")," The objective of this study was to estimate the tetracycline resistance 
level in the modern population of Neisseria gonorrhoeae in the Russian 
Federation, where this drug was removed from the treatment regimen for 
gonococcal infections in 2003. A tota"&amp;"l of 401 isolates collected between 
2015 and 2017 were analyzed for genetic markers (chromosomal porB, rpsJ and 
mtrR gene mutations and the plasmid-located tetM gene) involved in 
tetracycline resistance. Antibiotic susceptibility testing revealed that "&amp;"
19% of the strains were tetracycline resistant (MIC &gt; 1 mg/L) and that 10% 
of the strains had intermediate susceptibility (0.5 &lt; MIC ≤ 1 mg/L). 
Various combinations of mutations identified in the rpsJ (Val57Met/Leu), 
porB (Gly120Lys/Asp/Asn/Thr and Al"&amp;"a121/Asp/Asn/Gly), and mtrR (-35 del A) 
genes resulted in MIC increases of up to 1.47 mg/L (geometric mean value). 
The presence of the tetM gene was detected in 29 strains, including 18 tetM 
genes of the American type and 11 of the Dutch type. The tetM"&amp;" gene was 
associated with a strong increase in resistance (MIC &gt; 8 mg/L). One N. 
gonorrhoeae isolate was found to carry a defective tetM gene with an AG 
deletion at position 1239-1240, а new stop codon was introduced that caused 
a defect in TetM prote"&amp;"in synthesis and decrease in the tetracycline 
resistance. Phylogenetic trees constructed using N. gonorrhoeae NG-MAST and 
tetM loci were compared. Complex relationship was observed between the N. 
gonorrhoeae sequence type and the tetM plasmid type. Par"&amp;"tial recovery of N. 
gonorrhoeae tetracycline susceptibility was observed relative to the 
proportion of isolates with resistance detected ten years ago (75%). 
However, the current levels of tetracycline resistance still preclude the 
renewed use of thes"&amp;"e drugs for gonococcal infection therapy. ")</f>
        <v xml:space="preserve"> 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 </v>
      </c>
      <c r="D98" s="5" t="s">
        <v>26</v>
      </c>
      <c r="E98" s="5"/>
      <c r="F98" s="5" t="s">
        <v>212</v>
      </c>
      <c r="G98" s="5" t="s">
        <v>41</v>
      </c>
    </row>
    <row r="99" spans="1:7" ht="12.5">
      <c r="A99" s="9">
        <v>31425792</v>
      </c>
      <c r="B99" s="10" t="s">
        <v>213</v>
      </c>
      <c r="C99" s="12" t="str">
        <f ca="1">IFERROR(__xludf.DUMMYFUNCTION("IMPORTXML(""https://pubmed.ncbi.nlm.nih.gov/""&amp;A105,""/html/body/div[5]/main/div[2]/div/p/text()"")")," The prevalence of Neisseria gonorrhoeae infections has increased rapidly 
since 2015 in China. Antimicrobial resistance and molecular mobilisation in 
N. gonorrhoeae are two important factors driving this increasing 
prevalence. This study explored chang"&amp;"es in antimicrobial susceptibility and 
molecular characteristics of N. gonorrhoeae collected in Guangdong, China 
(2013-2017). A total of 704 isolates were collected in two cities in 
Guangdong. MICs of major antimicrobials were determined. 
Penicillinas"&amp;"e-producing N. gonorrhoeae (PPNG) and tetracycline-resistant N. 
gonorrhoeae (TRNG) were characterised, and N. gonorrhoeae multiantigen 
sequence typing (NG-MAST) was performed. High resistance to penicillin 
(68.2%), tetracycline (85.7%) and ciprofloxaci"&amp;"n (98.2%) was observed. 
Spectinomycin, ceftriaxone and azithromycin appeared effective, with 
susceptibilities of 100%, 96.4% and 90.7%, respectively. Resistance to 
penicillin decreased significantly from 78.4% to 73.6% and to azithromycin 
from 11.9% t"&amp;"o 3.7%. Total prevalence of PPNG, TRNG and PPNG/TRNG was 25.4%, 
33.1% and 13.4%, respectively. Rates of PPNG decreased significantly from 
37.3% to 23.9%, TRNG from 50.0% to 31.3%, and PPNG/TRNG from 23.5% to 
11.7%. However, the ratio of African-type PP"&amp;"NG increased significantly 
(18.4% to 64.1%) compared with decreasing Asian-type PPNG (81.6% to 33.3%), 
and the ratio of American-type TRNG increased significantly (0% to 13.7%) 
compared with decreasing Dutch-type TRNG (100% to 86.3%). A total of 271 
s"&amp;"equence types (STs) were identified by NG-MAST from 380 isolates collected 
in 2013, 2014 and 2017, with 145 novel STs. African-type PPNG is increasing 
and replacing Asian-type, and novel STs have emerged. Gonococcal isolates 
with new genotypes might co"&amp;"ntribute to the rising gonorrhoea epidemic in 
this area. ")</f>
        <v xml:space="preserve"> The prevalence of Neisseria gonorrhoeae infections has increased rapidly 
since 2015 in China. Antimicrobial resistance and molecular mobilisation in 
N. gonorrhoeae are two important factors driving this increasing 
prevalence. This study explored changes in antimicrobial susceptibility and 
molecular characteristics of N. gonorrhoeae collected in Guangdong, China 
(2013-2017). A total of 704 isolates were collected in two cities in 
Guangdong. MICs of major antimicrobials were determined. 
Penicillinase-producing N. gonorrhoeae (PPNG) and tetracycline-resistant N. 
gonorrhoeae (TRNG) were characterised, and N. gonorrhoeae multiantigen 
sequence typing (NG-MAST) was performed. High resistance to penicillin 
(68.2%), tetracycline (85.7%) and ciprofloxacin (98.2%) was observed. 
Spectinomycin, ceftriaxone and azithromycin appeared effective, with 
susceptibilities of 100%, 96.4% and 90.7%, respectively. Resistance to 
penicillin decreased significantly from 78.4% to 73.6% and to azithromycin 
from 11.9% to 3.7%. Total prevalence of PPNG, TRNG and PPNG/TRNG was 25.4%, 
33.1% and 13.4%, respectively. Rates of PPNG decreased significantly from 
37.3% to 23.9%, TRNG from 50.0% to 31.3%, and PPNG/TRNG from 23.5% to 
11.7%. However, the ratio of African-type PPNG increased significantly 
(18.4% to 64.1%) compared with decreasing Asian-type PPNG (81.6% to 33.3%), 
and the ratio of American-type TRNG increased significantly (0% to 13.7%) 
compared with decreasing Dutch-type TRNG (100% to 86.3%). A total of 271 
sequence types (STs) were identified by NG-MAST from 380 isolates collected 
in 2013, 2014 and 2017, with 145 novel STs. African-type PPNG is increasing 
and replacing Asian-type, and novel STs have emerged. Gonococcal isolates 
with new genotypes might contribute to the rising gonorrhoea epidemic in 
this area. </v>
      </c>
      <c r="D99" s="9" t="s">
        <v>26</v>
      </c>
      <c r="E99" s="9"/>
      <c r="F99" s="9" t="s">
        <v>214</v>
      </c>
      <c r="G99" s="9" t="s">
        <v>73</v>
      </c>
    </row>
    <row r="100" spans="1:7" ht="12.5">
      <c r="A100" s="5">
        <v>30234930</v>
      </c>
      <c r="B100" s="6" t="s">
        <v>215</v>
      </c>
      <c r="C100" s="7" t="str">
        <f ca="1">IFERROR(__xludf.DUMMYFUNCTION("IMPORTXML(""https://pubmed.ncbi.nlm.nih.gov/""&amp;A106,""/html/body/div[5]/main/div[2]/div/p/text()"")"),"Loading...")</f>
        <v>Loading...</v>
      </c>
      <c r="D100" s="8" t="s">
        <v>8</v>
      </c>
      <c r="E100" s="5"/>
      <c r="F100" s="5">
        <v>2017</v>
      </c>
      <c r="G100" s="5" t="s">
        <v>18</v>
      </c>
    </row>
    <row r="101" spans="1:7" ht="12.5">
      <c r="A101" s="9">
        <v>33060666</v>
      </c>
      <c r="B101" s="10" t="s">
        <v>216</v>
      </c>
      <c r="C101" s="7" t="str">
        <f ca="1">IFERROR(__xludf.DUMMYFUNCTION("IMPORTXML(""https://pubmed.ncbi.nlm.nih.gov/""&amp;A107,""/html/body/div[5]/main/div[2]/div/p/text()"")")," The rise in antimicrobial resistance has prompted the development of 
alternatives to combat bacterial infections. Bald's eyesalve, a remedy used 
in the Early Medieval period, has previously been shown to have efficacy 
against Staphylococcus aureus in "&amp;"in vitro and in vivo models of chronic 
wounds. However, the safety profile of Bald's eyesalve has not yet been 
demonstrated, and this is vital before testing in humans. Here, we 
determined the safety potential of Bald's eyesalve using in vitro, ex vivo"&amp;", 
and in vivo models representative of skin or eye infections. We also 
confirmed that Bald's eyesalve is active against an important eye pathogen, 
Neisseria gonorrhoeae. Low levels of cytotoxicity were observed in 
eyesalve-treated cell lines represent"&amp;"ative of skin and immune cells. 
Results from a bovine corneal opacity and permeability test demonstrated 
slight irritation to the cornea that resolved within 10 min. The slug 
mucosal irritation assay revealed that a low level of mucus was secreted by 
"&amp;"slugs indicating moderate mucosal irritation. We obtained promising results 
from mouse wound closure experiments; no visible signs of irritation or 
inflammation were observed. Our results suggest that Bald's eyesalve could 
be tested further on human vo"&amp;"lunteers to assess safety for topical 
application against bacterial infections. ")</f>
        <v xml:space="preserve"> The rise in antimicrobial resistance has prompted the development of 
alternatives to combat bacterial infections. Bald's eyesalve, a remedy used 
in the Early Medieval period, has previously been shown to have efficacy 
against Staphylococcus aureus in in vitro and in vivo models of chronic 
wounds. However, the safety profile of Bald's eyesalve has not yet been 
demonstrated, and this is vital before testing in humans. Here, we 
determined the safety potential of Bald's eyesalve using in vitro, ex vivo, 
and in vivo models representative of skin or eye infections. We also 
confirmed that Bald's eyesalve is active against an important eye pathogen, 
Neisseria gonorrhoeae. Low levels of cytotoxicity were observed in 
eyesalve-treated cell lines representative of skin and immune cells. 
Results from a bovine corneal opacity and permeability test demonstrated 
slight irritation to the cornea that resolved within 10 min. The slug 
mucosal irritation assay revealed that a low level of mucus was secreted by 
slugs indicating moderate mucosal irritation. We obtained promising results 
from mouse wound closure experiments; no visible signs of irritation or 
inflammation were observed. Our results suggest that Bald's eyesalve could 
be tested further on human volunteers to assess safety for topical 
application against bacterial infections. </v>
      </c>
      <c r="D101" s="11" t="s">
        <v>8</v>
      </c>
      <c r="E101" s="9"/>
      <c r="F101" s="9" t="s">
        <v>217</v>
      </c>
      <c r="G101" s="9" t="s">
        <v>41</v>
      </c>
    </row>
    <row r="102" spans="1:7" ht="12.5">
      <c r="A102" s="5">
        <v>27196299</v>
      </c>
      <c r="B102" s="6" t="s">
        <v>218</v>
      </c>
      <c r="C102" s="7" t="str">
        <f ca="1">IFERROR(__xludf.DUMMYFUNCTION("IMPORTXML(""https://pubmed.ncbi.nlm.nih.gov/""&amp;A108,""/html/body/div[5]/main/div[2]/div/p/text()"")")," The sexually transmitted bacterium Neisseria gonorrhoeae has developed 
resistance to all antibiotic classes that have been used for treatment and 
strains resistant to multiple antibiotic classes have evolved. In many 
countries, there is only one antib"&amp;"iotic remaining for empirical N. 
gonorrhoeae treatment, and antibiotic management to counteract resistance 
spread is urgently needed. Understanding dynamics and drivers of resistance 
spread can provide an improved rationale for antibiotic management. I"&amp;"n our 
study, we first used antibiotic resistance surveillance data to estimate 
the rates at which antibiotic-resistant N. gonorrhoeae spread in two host 
populations, heterosexual men (HetM) and men who have sex with men (MSM). 
We found higher rates of"&amp;" spread for MSM (0.86 to 2.38 y-1, mean doubling 
time: 6 months) compared to HetM (0.24 to 0.86 y-1, mean doubling time: 16 
months). We then developed a dynamic transmission model to reproduce the 
observed dynamics of N. gonorrhoeae transmission in pop"&amp;"ulations of 
heterosexual men and women (HMW) and MSM. We parameterized the model using 
sexual behavior data and calibrated it to N. gonorrhoeae prevalence and 
incidence data. In the model, antibiotic-resistant N. gonorrhoeae spread 
with a median rate "&amp;"of 0.88 y-1 in HMW and 3.12 y-1 in MSM. These rates 
correspond to median doubling times of 9 (HMW) and 3 (MSM) months. Assuming 
no fitness costs, the model shows the difference in the host population's 
treatment rate rather than the difference in the n"&amp;"umber of sexual partners 
explains the differential spread of resistance. As higher treatment rates 
result in faster spread of antibiotic resistance, treatment recommendations 
for N. gonorrhoeae should carefully balance prevention of infection and 
avoi"&amp;"dance of resistance spread. ")</f>
        <v xml:space="preserve"> The sexually transmitted bacterium Neisseria gonorrhoeae has developed 
resistance to all antibiotic classes that have been used for treatment and 
strains resistant to multiple antibiotic classes have evolved. In many 
countries, there is only one antibiotic remaining for empirical N. 
gonorrhoeae treatment, and antibiotic management to counteract resistance 
spread is urgently needed. Understanding dynamics and drivers of resistance 
spread can provide an improved rationale for antibiotic management. In our 
study, we first used antibiotic resistance surveillance data to estimate 
the rates at which antibiotic-resistant N. gonorrhoeae spread in two host 
populations, heterosexual men (HetM) and men who have sex with men (MSM). 
We found higher rates of spread for MSM (0.86 to 2.38 y-1, mean doubling 
time: 6 months) compared to HetM (0.24 to 0.86 y-1, mean doubling time: 16 
months). We then developed a dynamic transmission model to reproduce the 
observed dynamics of N. gonorrhoeae transmission in populations of 
heterosexual men and women (HMW) and MSM. We parameterized the model using 
sexual behavior data and calibrated it to N. gonorrhoeae prevalence and 
incidence data. In the model, antibiotic-resistant N. gonorrhoeae spread 
with a median rate of 0.88 y-1 in HMW and 3.12 y-1 in MSM. These rates 
correspond to median doubling times of 9 (HMW) and 3 (MSM) months. Assuming 
no fitness costs, the model shows the difference in the host population's 
treatment rate rather than the difference in the number of sexual partners 
explains the differential spread of resistance. As higher treatment rates 
result in faster spread of antibiotic resistance, treatment recommendations 
for N. gonorrhoeae should carefully balance prevention of infection and 
avoidance of resistance spread. </v>
      </c>
      <c r="D102" s="8" t="s">
        <v>8</v>
      </c>
      <c r="E102" s="5"/>
      <c r="F102" s="5" t="s">
        <v>219</v>
      </c>
      <c r="G102" s="5" t="s">
        <v>118</v>
      </c>
    </row>
    <row r="103" spans="1:7" ht="12.5">
      <c r="A103" s="9">
        <v>25534723</v>
      </c>
      <c r="B103" s="10" t="s">
        <v>220</v>
      </c>
      <c r="C103" s="12" t="str">
        <f ca="1">IFERROR(__xludf.DUMMYFUNCTION("IMPORTXML(""https://pubmed.ncbi.nlm.nih.gov/""&amp;A109,""/html/body/div[5]/main/div[2]/div/p/text()"")")," The unmet medical need for novel intervention strategies to treat 
Neisseria gonorrhoeae infections is significant and increasing, as rapidly 
emerging resistance in this pathogen is threatening to eliminate the 
currently available treatment options. AZ"&amp;"D0914 is a novel bacterial gyrase 
inhibitor that possesses potent in vitro activities against isolates with 
high-level resistance to ciprofloxacin and extended-spectrum 
cephalosporins, and it is currently in clinical development for the 
treatment of N"&amp;". gonorrhoeae infections. The propensity to develop 
resistance against AZD0914 was examined in N. gonorrhoeae and found to be 
extremely low, a finding supported by similar studies with Staphylococcus 
aureus. The genetic characterization of both first-s"&amp;"tep and second-step 
mutants that exhibited decreased susceptibilities to AZD0914 identified 
substitutions in the conserved GyrB TOPRIM domain, confirming DNA gyrase as 
the primary target of AZD0914 and providing differentiation from 
fluoroquinolones. "&amp;"The analysis of available bacterial gyrase and 
topoisomerase IV structures, including those bound to fluoroquinolone and 
nonfluoroquinolone inhibitors, has allowed the rationalization of the lack 
of cross-resistance that AZD0914 shares with fluoroquino"&amp;"lones. 
Microbiological susceptibility data also indicate that the topoisomerase 
inhibition mechanisms are subtly different between N. gonorrhoeae and other 
bacterial species. Taken together, these data support the progression of 
AZD0914 as a novel tre"&amp;"atment option for the oral treatment of N. 
gonorrhoeae infections. ")</f>
        <v xml:space="preserve"> The unmet medical need for novel intervention strategies to treat 
Neisseria gonorrhoeae infections is significant and increasing, as rapidly 
emerging resistance in this pathogen is threatening to eliminate the 
currently available treatment options. AZD0914 is a novel bacterial gyrase 
inhibitor that possesses potent in vitro activities against isolates with 
high-level resistance to ciprofloxacin and extended-spectrum 
cephalosporins, and it is currently in clinical development for the 
treatment of N. gonorrhoeae infections. The propensity to develop 
resistance against AZD0914 was examined in N. gonorrhoeae and found to be 
extremely low, a finding supported by similar studies with Staphylococcus 
aureus. The genetic characterization of both first-step and second-step 
mutants that exhibited decreased susceptibilities to AZD0914 identified 
substitutions in the conserved GyrB TOPRIM domain, confirming DNA gyrase as 
the primary target of AZD0914 and providing differentiation from 
fluoroquinolones. The analysis of available bacterial gyrase and 
topoisomerase IV structures, including those bound to fluoroquinolone and 
nonfluoroquinolone inhibitors, has allowed the rationalization of the lack 
of cross-resistance that AZD0914 shares with fluoroquinolones. 
Microbiological susceptibility data also indicate that the topoisomerase 
inhibition mechanisms are subtly different between N. gonorrhoeae and other 
bacterial species. Taken together, these data support the progression of 
AZD0914 as a novel treatment option for the oral treatment of N. 
gonorrhoeae infections. </v>
      </c>
      <c r="D103" s="9" t="s">
        <v>20</v>
      </c>
      <c r="E103" s="9" t="s">
        <v>23</v>
      </c>
      <c r="F103" s="9" t="s">
        <v>120</v>
      </c>
      <c r="G103" s="9" t="s">
        <v>49</v>
      </c>
    </row>
    <row r="104" spans="1:7" ht="12.5">
      <c r="A104" s="5">
        <v>28038960</v>
      </c>
      <c r="B104" s="6" t="s">
        <v>221</v>
      </c>
      <c r="C104" s="6" t="str">
        <f ca="1">IFERROR(__xludf.DUMMYFUNCTION("IMPORTXML(""https://pubmed.ncbi.nlm.nih.gov/""&amp;A110,""/html/body/div[5]/main/div[2]/div/p/text()"")")," The whole-genome sequences of 24 isolates of Neisseria gonorrhoeae with 
elevated minimum inhibitory concentrations (MICs) to azithromycin (≥2.0 
µg/mL) were analyzed against a modified sequence derived from the 
whole-genome sequence of N. gonorrhoeae F"&amp;"A1090 to determine, by signal 
ratio, the number of mutant copies of the 23S rRNA gene and the copy number 
effect on 50S ribosome-mediated azithromycin resistance. Isolates that were 
predicted to contain four mutated copies were accurately identified 
c"&amp;"ompared with the results of direct sequencing. Fewer than four mutated 
copies gave less accurate results but were consistent with elevated MICs. ")</f>
        <v xml:space="preserve"> The whole-genome sequences of 24 isolates of Neisseria gonorrhoeae with 
elevated minimum inhibitory concentrations (MICs) to azithromycin (≥2.0 
µg/mL) were analyzed against a modified sequence derived from the 
whole-genome sequence of N. gonorrhoeae FA1090 to determine, by signal 
ratio, the number of mutant copies of the 23S rRNA gene and the copy number 
effect on 50S ribosome-mediated azithromycin resistance. Isolates that were 
predicted to contain four mutated copies were accurately identified 
compared with the results of direct sequencing. Fewer than four mutated 
copies gave less accurate results but were consistent with elevated MICs. </v>
      </c>
      <c r="D104" s="5" t="s">
        <v>15</v>
      </c>
      <c r="E104" s="5" t="s">
        <v>98</v>
      </c>
      <c r="F104" s="5" t="s">
        <v>222</v>
      </c>
      <c r="G104" s="5" t="s">
        <v>31</v>
      </c>
    </row>
    <row r="105" spans="1:7" ht="12.5">
      <c r="A105" s="9">
        <v>26239980</v>
      </c>
      <c r="B105" s="10" t="s">
        <v>223</v>
      </c>
      <c r="C105" s="12" t="str">
        <f ca="1">IFERROR(__xludf.DUMMYFUNCTION("IMPORTXML(""https://pubmed.ncbi.nlm.nih.gov/""&amp;A111,""/html/body/div[5]/main/div[2]/div/p/text()"")")," There is increasing interest in the use of lipophilic copper 
(Cu)-containing complexes to combat bacterial infections. In this work, we 
showed that Cu complexes with bis(thiosemicarbazone) ligands [Cu(btsc)] 
exert antibacterial activity against a rang"&amp;"e of medically significant 
pathogens. Previous work using Neisseria gonorrhoeae showed that Cu(btsc) 
complexes may act as inhibitors of respiratory dehydrogenases in the 
electron transport chain. We now show that these complexes are also toxic 
against"&amp;" pathogens that lack a respiratory chain. Respiration in Escherichia 
coli was slightly affected by Cu(btsc) complexes, but our results indicate 
that, in this model bacterium, the complexes act primarily as agents that 
deliver toxic Cu ions efficiently "&amp;"into the cytoplasm. Although the 
chemistry of Cu(btsc) complexes may dictate their mechanism of action, 
their efficacy depends heavily on bacterial physiology. This is linked to 
the ability of the target bacterium to tolerate Cu and, additionally, the "&amp;"
susceptibility of the respiratory chain to direct inhibition by Cu(btsc) 
complexes. The physiology of N. gonorrhoeae, including multidrug-resistant 
strains, makes it highly susceptible to damage by Cu ions and Cu(btsc) 
complexes, highlighting the pote"&amp;"ntial of Cu(btsc) complexes (and Cu-based 
therapeutics) as a promising treatment against this important bacterial 
pathogen. ")</f>
        <v xml:space="preserve"> 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 </v>
      </c>
      <c r="D105" s="9" t="s">
        <v>20</v>
      </c>
      <c r="E105" s="9" t="s">
        <v>23</v>
      </c>
      <c r="F105" s="9" t="s">
        <v>224</v>
      </c>
      <c r="G105" s="9" t="s">
        <v>86</v>
      </c>
    </row>
    <row r="106" spans="1:7" ht="12.5">
      <c r="A106" s="5">
        <v>34784046</v>
      </c>
      <c r="B106" s="6" t="s">
        <v>225</v>
      </c>
      <c r="C106" s="13" t="s">
        <v>226</v>
      </c>
      <c r="D106" s="5" t="s">
        <v>36</v>
      </c>
      <c r="E106" s="5" t="s">
        <v>37</v>
      </c>
      <c r="F106" s="5">
        <v>2022</v>
      </c>
      <c r="G106" s="5" t="s">
        <v>18</v>
      </c>
    </row>
    <row r="107" spans="1:7" ht="12.5">
      <c r="A107" s="9">
        <v>26378286</v>
      </c>
      <c r="B107" s="10" t="s">
        <v>227</v>
      </c>
      <c r="C107" s="12" t="str">
        <f ca="1">IFERROR(__xludf.DUMMYFUNCTION("IMPORTXML(""https://pubmed.ncbi.nlm.nih.gov/""&amp;A113,""/html/body/div[5]/main/div[2]/div/p/text()"")")," This solithromycin quality control study was performed to establish 
quality control (QC) ranges for the N. gonorrhoeae ATCC 49226 control 
strain for MIC agar dilution testing (AD) and zones by disk diffusion 
testing (DD). The following ranges were est"&amp;"ablished: AD, 0.03 to 0.25 
μg/ml, and DD, 33 to 43 mm. In January 2015, the CLSI Subcommittee on 
Antimicrobial Susceptibility Testing approved these ranges, which will be 
important when evaluating solithromycin against clinical isolates of N. 
gonorrho"&amp;"eae. ")</f>
        <v xml:space="preserve"> This solithromycin quality control study was performed to establish 
quality control (QC) ranges for the N. gonorrhoeae ATCC 49226 control 
strain for MIC agar dilution testing (AD) and zones by disk diffusion 
testing (DD). The following ranges were established: AD, 0.03 to 0.25 
μg/ml, and DD, 33 to 43 mm. In January 2015, the CLSI Subcommittee on 
Antimicrobial Susceptibility Testing approved these ranges, which will be 
important when evaluating solithromycin against clinical isolates of N. 
gonorrhoeae. </v>
      </c>
      <c r="D107" s="9" t="s">
        <v>20</v>
      </c>
      <c r="E107" s="9" t="s">
        <v>23</v>
      </c>
      <c r="F107" s="9" t="s">
        <v>228</v>
      </c>
      <c r="G107" s="9" t="s">
        <v>73</v>
      </c>
    </row>
    <row r="108" spans="1:7" ht="12.5">
      <c r="A108" s="5">
        <v>25987627</v>
      </c>
      <c r="B108" s="6" t="s">
        <v>229</v>
      </c>
      <c r="C108" s="6" t="str">
        <f ca="1">IFERROR(__xludf.DUMMYFUNCTION("IMPORTXML(""https://pubmed.ncbi.nlm.nih.gov/""&amp;A114,""/html/body/div[5]/main/div[2]/div/p/text()"")")," To characterize the relationship between penicillin-binding protein 2 
(PBP2/penA) and susceptibility to extended-spectrum cephalosporins (ESCs) 
and carbapenem antibiotics, we compared 17 PBP2 variants in Neisseria 
gonorrhoeae. Nonmosaic and mosaic var"&amp;"iants of PBP2 caused decreased 
susceptibility to ESCs and, to a lesser extent, to carbapenems. An A501P 
substitution in mosaic XXXIV_A501P conferred decreased susceptibility to 
ESCs but restored carbapenem susceptibility to wild-type levels. These 
res"&amp;"ults could aid the molecular surveillance of antimicrobial resistance to 
these agents. ")</f>
        <v xml:space="preserve"> To characterize the relationship between penicillin-binding protein 2 
(PBP2/penA) and susceptibility to extended-spectrum cephalosporins (ESCs) 
and carbapenem antibiotics, we compared 17 PBP2 variants in Neisseria 
gonorrhoeae. Nonmosaic and mosaic variants of PBP2 caused decreased 
susceptibility to ESCs and, to a lesser extent, to carbapenems. An A501P 
substitution in mosaic XXXIV_A501P conferred decreased susceptibility to 
ESCs but restored carbapenem susceptibility to wild-type levels. These 
results could aid the molecular surveillance of antimicrobial resistance to 
these agents. </v>
      </c>
      <c r="D108" s="5" t="s">
        <v>15</v>
      </c>
      <c r="E108" s="5" t="s">
        <v>98</v>
      </c>
      <c r="F108" s="5" t="s">
        <v>230</v>
      </c>
      <c r="G108" s="5" t="s">
        <v>49</v>
      </c>
    </row>
    <row r="109" spans="1:7" ht="12.5">
      <c r="A109" s="9">
        <v>27600036</v>
      </c>
      <c r="B109" s="10" t="s">
        <v>231</v>
      </c>
      <c r="C109" s="12" t="str">
        <f ca="1">IFERROR(__xludf.DUMMYFUNCTION("IMPORTXML(""https://pubmed.ncbi.nlm.nih.gov/""&amp;A115,""/html/body/div[5]/main/div[2]/div/p/text()"")")," Two extended-spectrum cephalosporin-resistant Neisseria gonorrhoeae 
isolates were discovered among 6,340 (0.03%) French isolates between 2010 
and 2014. One isolate corresponded to the F89 multidrug-resistant N. 
gonorrhoeae isolate harboring a penA mos"&amp;"aic; whole-genome sequencing 
highlighted an additional R251H substitution in the ftsX gene recently 
involved in cephalosporin resistance. The other, ceftriaxone-resistant 
isolate (MIC, 0.25 mg/liter) harbored the PBP2 pattern XXXVI plus a P551S 
substi"&amp;"tution and belonged to sequence type ST1579 (multilocus sequence 
typing [MLST]). ")</f>
        <v xml:space="preserve"> 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 </v>
      </c>
      <c r="D109" s="9" t="s">
        <v>26</v>
      </c>
      <c r="E109" s="9"/>
      <c r="F109" s="9" t="s">
        <v>232</v>
      </c>
      <c r="G109" s="9" t="s">
        <v>41</v>
      </c>
    </row>
    <row r="110" spans="1:7" ht="12.5">
      <c r="A110" s="5">
        <v>30489490</v>
      </c>
      <c r="B110" s="6" t="s">
        <v>233</v>
      </c>
      <c r="C110" s="7" t="str">
        <f ca="1">IFERROR(__xludf.DUMMYFUNCTION("IMPORTXML(""https://pubmed.ncbi.nlm.nih.gov/""&amp;A116,""/html/body/div[5]/main/div[2]/div/p/text()"")"),"Loading...")</f>
        <v>Loading...</v>
      </c>
      <c r="D110" s="8" t="s">
        <v>8</v>
      </c>
      <c r="E110" s="5"/>
      <c r="F110" s="5" t="s">
        <v>234</v>
      </c>
      <c r="G110" s="5" t="s">
        <v>10</v>
      </c>
    </row>
    <row r="111" spans="1:7" ht="12.5">
      <c r="A111" s="9">
        <v>25114322</v>
      </c>
      <c r="B111" s="10" t="s">
        <v>235</v>
      </c>
      <c r="C111" s="7" t="str">
        <f ca="1">IFERROR(__xludf.DUMMYFUNCTION("IMPORTXML(""https://pubmed.ncbi.nlm.nih.gov/""&amp;A117,""/html/body/div[5]/main/div[2]/div/p/text()"")")," We describe the first case of treatment failure of gonorrhoea with a third 
generation cephalosporin, cefotaxime 1g intramuscularly, in the 
Netherlands. The case was from a high-frequency transmitting population 
(men having sex with men) and was caused"&amp;" by the internationally spreading 
multidrug-resistant gonococcal NG-MAST ST1407 clone. The patient was 
clinically cured after treatment with ceftriaxone 500 mg intramuscularly 
and this is the only third generation cephalosporin that should be used for "&amp;"
first-line empiric treatment of gonorrhoea. Increased awareness of failures 
with third generation cephalosporins, enhanced monitoring and appropriate 
verification of treatment failures including more frequent test-of-cures, 
and strict adherence to reg"&amp;"ularly updated treatment guidelines are 
essential globally. ")</f>
        <v xml:space="preserve"> 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 </v>
      </c>
      <c r="D111" s="11" t="s">
        <v>8</v>
      </c>
      <c r="E111" s="9"/>
      <c r="F111" s="9" t="s">
        <v>236</v>
      </c>
      <c r="G111" s="9" t="s">
        <v>13</v>
      </c>
    </row>
    <row r="112" spans="1:7" ht="12.5">
      <c r="A112" s="5">
        <v>24455772</v>
      </c>
      <c r="B112" s="6" t="s">
        <v>237</v>
      </c>
      <c r="C112" s="12" t="str">
        <f ca="1">IFERROR(__xludf.DUMMYFUNCTION("IMPORTXML(""https://pubmed.ncbi.nlm.nih.gov/""&amp;A118,""/html/body/div[5]/main/div[2]/div/p/text()"")")," We evaluated Neisseria gonorrhoeae Etest minimum inhibitory concentrations 
(MICs) relative to agar dilution MICs for 664 urethral isolates for 
ceftriaxone (CRO) and azithromycin (AZM), 351 isolates for cefpodoxime 
(CPD) and 315 isolates for cefixime ("&amp;"CFM). Etest accurately determined CPD, 
CFM and AZM MICs, but resulted in higher CRO MICs. ")</f>
        <v xml:space="preserve"> We evaluated Neisseria gonorrhoeae Etest minimum inhibitory concentrations 
(MICs) relative to agar dilution MICs for 664 urethral isolates for 
ceftriaxone (CRO) and azithromycin (AZM), 351 isolates for cefpodoxime 
(CPD) and 315 isolates for cefixime (CFM). Etest accurately determined CPD, 
CFM and AZM MICs, but resulted in higher CRO MICs. </v>
      </c>
      <c r="D112" s="5" t="s">
        <v>20</v>
      </c>
      <c r="E112" s="5" t="s">
        <v>33</v>
      </c>
      <c r="F112" s="5" t="s">
        <v>167</v>
      </c>
      <c r="G112" s="5" t="s">
        <v>118</v>
      </c>
    </row>
    <row r="113" spans="1:7" ht="12.5">
      <c r="A113" s="9">
        <v>24982070</v>
      </c>
      <c r="B113" s="10" t="s">
        <v>238</v>
      </c>
      <c r="C113" s="12" t="str">
        <f ca="1">IFERROR(__xludf.DUMMYFUNCTION("IMPORTXML(""https://pubmed.ncbi.nlm.nih.gov/""&amp;A119,""/html/body/div[5]/main/div[2]/div/p/text()"")")," We evaluated the activity of the novel spiropyrimidinetrione AZD0914 (DNA 
gyrase inhibitor) against clinical gonococcal isolates and international 
reference strains (n=250), including strains with diverse multidrug 
resistance and extensive drug resist"&amp;"ance. The AZD0914 MICs were 
substantially lower than those of most other currently or previously 
recommended antimicrobials. AZD0914 should be further evaluated, including 
in vitro selection, in vivo emergence and mechanisms of resistance, 
pharmacokin"&amp;"etics/pharmacodynamics in humans, optimal dosing, and 
performance, in appropriate randomized and controlled clinical trials. ")</f>
        <v xml:space="preserve"> 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 </v>
      </c>
      <c r="D113" s="9" t="s">
        <v>20</v>
      </c>
      <c r="E113" s="9" t="s">
        <v>23</v>
      </c>
      <c r="F113" s="9" t="s">
        <v>239</v>
      </c>
      <c r="G113" s="9" t="s">
        <v>13</v>
      </c>
    </row>
    <row r="114" spans="1:7" ht="12.5">
      <c r="A114" s="5">
        <v>26976873</v>
      </c>
      <c r="B114" s="6" t="s">
        <v>240</v>
      </c>
      <c r="C114" s="12" t="str">
        <f ca="1">IFERROR(__xludf.DUMMYFUNCTION("IMPORTXML(""https://pubmed.ncbi.nlm.nih.gov/""&amp;A120,""/html/body/div[5]/main/div[2]/div/p/text()"")")," We evaluated the in vitro activity of delafloxacin against a panel of 117 
Neisseria gonorrhoeae strains, including 110 clinical isolates collected 
from 2012 to 2015 and seven reference strains, compared with the activities 
of seven antimicrobials curr"&amp;"ently or previously recommended for treatment 
of gonorrhea. We examined the potential for delafloxacin to select for 
resistant mutants in ciprofloxacin-susceptible and ciprofloxacin-resistant 
N. gonorrhoeae We characterized mutations in the gyrA, gyrB,"&amp;" parC, and parE 
genes and the multidrug-resistant efflux pumps (MtrC-MtrD-MtrE and NorM) by 
PCR and sequencing and by whole-genome sequencing. The MIC50, MIC90, and 
MIC ranges of delafloxacin were 0.06 μg/ml, 0.125 μg/ml, and ≤0.001 to 0.25 
μg/ml, res"&amp;"pectively. The frequency of spontaneous mutation ranged from 
10(-7) to &lt;10(-9) The multistep delafloxacin resistance selection of 30 
daily passages resulted in stable resistant mutants. There was no obvious 
cross-resistance to nonfluoroquinolone compar"&amp;"ator antimicrobials. A mutant 
with reduced susceptibility to ciprofloxacin (MIC, 0.25 μg/ml) obtained 
from the ciprofloxacin-susceptible parental strain had a novel Ser91Tyr 
alteration in the gyrA gene. We also identified new mutations in the gyrA 
and"&amp;"/or parC and parE genes and the multidrug-resistant efflux pumps 
(MtrC-MtrD-MtrE and NorM) of two mutant strains with elevated delafloxacin 
MICs of 1 μg/ml. Although delafloxacin exhibited potent in vitro activity 
against N. gonorrhoeae isolates and re"&amp;"ference strains with diverse 
antimicrobial resistance profiles and demonstrated a low tendency to select 
for spontaneous mutants, it is important to establish the correlation 
between these excellent in vitro data and treatment outcomes through 
appropr"&amp;"iate randomized controlled clinical trials. ")</f>
        <v xml:space="preserve"> We evaluated the in vitro activity of delafloxacin against a panel of 117 
Neisseria gonorrhoeae strains, including 110 clinical isolates collected 
from 2012 to 2015 and seven reference strains, compared with the activities 
of seven antimicrobials currently or previously recommended for treatment 
of gonorrhea. We examined the potential for delafloxacin to select for 
resistant mutants in ciprofloxacin-susceptible and ciprofloxacin-resistant 
N. gonorrhoeae We characterized mutations in the gyrA, gyrB, parC, and parE 
genes and the multidrug-resistant efflux pumps (MtrC-MtrD-MtrE and NorM) by 
PCR and sequencing and by whole-genome sequencing. The MIC50, MIC90, and 
MIC ranges of delafloxacin were 0.06 μg/ml, 0.125 μg/ml, and ≤0.001 to 0.25 
μg/ml, respectively. The frequency of spontaneous mutation ranged from 
10(-7) to &lt;10(-9) The multistep delafloxacin resistance selection of 30 
daily passages resulted in stable resistant mutants. There was no obvious 
cross-resistance to nonfluoroquinolone comparator antimicrobials. A mutant 
with reduced susceptibility to ciprofloxacin (MIC, 0.25 μg/ml) obtained 
from the ciprofloxacin-susceptible parental strain had a novel Ser91Tyr 
alteration in the gyrA gene. We also identified new mutations in the gyrA 
and/or parC and parE genes and the multidrug-resistant efflux pumps 
(MtrC-MtrD-MtrE and NorM) of two mutant strains with elevated delafloxacin 
MICs of 1 μg/ml. Although delafloxacin exhibited potent in vitro activity 
against N. gonorrhoeae isolates and reference strains with diverse 
antimicrobial resistance profiles and demonstrated a low tendency to select 
for spontaneous mutants, it is important to establish the correlation 
between these excellent in vitro data and treatment outcomes through 
appropriate randomized controlled clinical trials. </v>
      </c>
      <c r="D114" s="5" t="s">
        <v>20</v>
      </c>
      <c r="E114" s="5" t="s">
        <v>23</v>
      </c>
      <c r="F114" s="5" t="s">
        <v>241</v>
      </c>
      <c r="G114" s="5" t="s">
        <v>52</v>
      </c>
    </row>
    <row r="115" spans="1:7" ht="12.5">
      <c r="A115" s="9">
        <v>32530860</v>
      </c>
      <c r="B115" s="10" t="s">
        <v>242</v>
      </c>
      <c r="C115" s="12" t="str">
        <f ca="1">IFERROR(__xludf.DUMMYFUNCTION("IMPORTXML(""https://pubmed.ncbi.nlm.nih.gov/""&amp;A121,""/html/body/div[5]/main/div[2]/div/p/text()"")")," We report a multidrug-resistant Neisseria gonorrhoeae exhibiting 
resistance to ceftriaxone and cefixime, isolated in Portugal in 2019. 
Whole-genome sequencing was performed for typing and identification of 
genetic determinants of antimicrobial resista"&amp;"nce. Because of its 
antimicrobial susceptibility profile, awareness should be raised for the 
circulation of this strain. ")</f>
        <v xml:space="preserve"> 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 </v>
      </c>
      <c r="D115" s="9" t="s">
        <v>26</v>
      </c>
      <c r="E115" s="9"/>
      <c r="F115" s="9" t="s">
        <v>243</v>
      </c>
      <c r="G115" s="9" t="s">
        <v>13</v>
      </c>
    </row>
    <row r="116" spans="1:7" ht="12.5">
      <c r="A116" s="5">
        <v>33592101</v>
      </c>
      <c r="B116" s="6" t="s">
        <v>244</v>
      </c>
      <c r="C116" s="12" t="str">
        <f ca="1">IFERROR(__xludf.DUMMYFUNCTION("IMPORTXML(""https://pubmed.ncbi.nlm.nih.gov/""&amp;A122,""/html/body/div[5]/main/div[2]/div/p/text()"")")," Within the German Gonococcal Resistance Network's (GORENET) Neisseria 
gonorrhoeae (NG) sample collection, azithromycin-resistant NG isolates 
increased from 4.3% in 2016 to 9.2% in 2018. We aim to understand this 
observed increase using whole genome se"&amp;"quencing of NG isolates combined 
with epidemiological and clinical data. Reduced susceptibility to 
azithromycin in 2018 was predominately clonal (NG multiantigen sequence 
typing G12302) and could mainly be attributed to the recently described 
mosaic-l"&amp;"ike mtr locus. Our data suggest that, together with horizontal gene 
transfer of resistance determinants and well-established point mutations, 
international spread of resistant lineages plays a major role regarding 
azithromycin resistance in Germany. ")</f>
        <v xml:space="preserve"> 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 </v>
      </c>
      <c r="D116" s="5" t="s">
        <v>26</v>
      </c>
      <c r="E116" s="5"/>
      <c r="F116" s="5" t="s">
        <v>245</v>
      </c>
      <c r="G116" s="5" t="s">
        <v>118</v>
      </c>
    </row>
    <row r="117" spans="1:7" ht="12.5">
      <c r="A117" s="9">
        <v>23945422</v>
      </c>
      <c r="B117" s="10" t="s">
        <v>246</v>
      </c>
      <c r="C117" s="7" t="str">
        <f ca="1">IFERROR(__xludf.DUMMYFUNCTION("IMPORTXML(""https://pubmed.ncbi.nlm.nih.gov/""&amp;A123,""/html/body/div[5]/main/div[2]/div/p/text()"")")," Young persons entering US jails and youth detention facilities have high 
rates of sexually transmitted diseases (STDs). The Centers for Disease 
Control and Prevention added STD screening guidelines specific to 
correctional settings to the 2010 STD Tre"&amp;"atment Guidelines. This article 
summarizes published evidence from 1990 to 2009 used to develop the 
recommendations. The literature supports routine screening of adolescents 
and young women (aged ≤35 years, or on the basis of local institutional 
preva"&amp;"lence data) for chlamydia and gonorrhea because of high prevalence and 
the subsequent risk of adverse reproductive outcomes. Chlamydia positivity 
among young women (aged &lt;20 years) in juvenile detention facilities and 
adult facilities is more than 14%."&amp;" Men in correctional settings are also at 
high risk for chlamydia and gonorrhea. Among boys in juvenile detention 
facilities, chlamydia positivity is estimated at 6.6%; among young men in 
adult facilities, positivity is 16.6%. Screening men (to reduce "&amp;"sequelae 
among women) should be considered based on local epidemiology and resource 
availability. Syphilis screening is not strongly supported in published 
literature because of low prevalence and is not routinely recommended; 
however, some screening "&amp;"may be warranted based on local prevalence. 
Although there is a great diversity in the organization of correctional 
facilities, implementation of screening recommendations is possible owing 
to improvements in test technology (urine specimens) and throu"&amp;"gh 
integration of a standard screening protocol. Based on the high burden of 
disease and substantial opportunities to reach a high-risk population, 
correctional facilities are important venues to target efforts to control 
STDs. ")</f>
        <v xml:space="preserve"> Young persons entering US jails and youth detention facilities have high 
rates of sexually transmitted diseases (STDs). The Centers for Disease 
Control and Prevention added STD screening guidelines specific to 
correctional settings to the 2010 STD Treatment Guidelines. This article 
summarizes published evidence from 1990 to 2009 used to develop the 
recommendations. The literature supports routine screening of adolescents 
and young women (aged ≤35 years, or on the basis of local institutional 
prevalence data) for chlamydia and gonorrhea because of high prevalence and 
the subsequent risk of adverse reproductive outcomes. Chlamydia positivity 
among young women (aged &lt;20 years) in juvenile detention facilities and 
adult facilities is more than 14%. Men in correctional settings are also at 
high risk for chlamydia and gonorrhea. Among boys in juvenile detention 
facilities, chlamydia positivity is estimated at 6.6%; among young men in 
adult facilities, positivity is 16.6%. Screening men (to reduce sequelae 
among women) should be considered based on local epidemiology and resource 
availability. Syphilis screening is not strongly supported in published 
literature because of low prevalence and is not routinely recommended; 
however, some screening may be warranted based on local prevalence. 
Although there is a great diversity in the organization of correctional 
facilities, implementation of screening recommendations is possible owing 
to improvements in test technology (urine specimens) and through 
integration of a standard screening protocol. Based on the high burden of 
disease and substantial opportunities to reach a high-risk population, 
correctional facilities are important venues to target efforts to control 
STDs. </v>
      </c>
      <c r="D117" s="11" t="s">
        <v>8</v>
      </c>
      <c r="E117" s="9"/>
      <c r="F117" s="9" t="s">
        <v>247</v>
      </c>
      <c r="G117" s="9" t="s">
        <v>118</v>
      </c>
    </row>
    <row r="118" spans="1:7" ht="12.5">
      <c r="A118" s="5">
        <v>23587946</v>
      </c>
      <c r="B118" s="6" t="s">
        <v>248</v>
      </c>
      <c r="C118" s="12"/>
      <c r="D118" s="5" t="s">
        <v>15</v>
      </c>
      <c r="E118" s="5" t="s">
        <v>98</v>
      </c>
      <c r="F118" s="5" t="s">
        <v>130</v>
      </c>
      <c r="G118" s="5" t="s">
        <v>31</v>
      </c>
    </row>
    <row r="119" spans="1:7" ht="12.5">
      <c r="A119" s="9">
        <v>28145684</v>
      </c>
      <c r="B119" s="10" t="s">
        <v>249</v>
      </c>
      <c r="C119" s="10"/>
      <c r="D119" s="9" t="s">
        <v>15</v>
      </c>
      <c r="E119" s="9" t="s">
        <v>16</v>
      </c>
      <c r="F119" s="9" t="s">
        <v>250</v>
      </c>
      <c r="G119" s="9" t="s">
        <v>49</v>
      </c>
    </row>
    <row r="120" spans="1:7" ht="12.5">
      <c r="A120" s="5">
        <v>34292926</v>
      </c>
      <c r="B120" s="6" t="s">
        <v>251</v>
      </c>
      <c r="C120" s="7" t="str">
        <f ca="1">IFERROR(__xludf.DUMMYFUNCTION("IMPORTXML(""https://pubmed.ncbi.nlm.nih.gov/""&amp;A126,""/html/body/div[5]/main/div[2]/div/p/text()"")")," These guidelines for the treatment of persons who have or are at risk for 
sexually transmitted infections (STIs) were updated by CDC after 
consultation with professionals knowledgeable in the field of STIs who met 
in Atlanta, Georgia, June 11-14, 2019"&amp;". The information in this report 
updates the 2015 guidelines. These guidelines discuss 1) updated 
recommendations for treatment of Neisseria gonorrhoeae, Chlamydia 
trachomatis, and Trichomonas vaginalis; 2) addition of metronidazole to the 
recommended"&amp;" treatment regimen for pelvic inflammatory disease; 3) 
alternative treatment options for bacterial vaginosis; 4) management of 
Mycoplasma genitalium; 5) human papillomavirus vaccine recommendations and 
counseling messages; 6) expanded risk factors for "&amp;"syphilis testing among 
pregnant women; 7) one-time testing for hepatitis C infection; 8) 
evaluation of men who have sex with men after sexual assault; and 9) 
two-step testing for serologic diagnosis of genital herpes simplex virus. 
Physicians and othe"&amp;"r health care providers can use these guidelines to 
assist in prevention and treatment of STIs. ")</f>
        <v xml:space="preserve"> These guidelines for the treatment of persons who have or are at risk for 
sexually transmitted infections (STIs) were updated by CDC after 
consultation with professionals knowledgeable in the field of STIs who met 
in Atlanta, Georgia, June 11-14, 2019. The information in this report 
updates the 2015 guidelines. These guidelines discuss 1) updated 
recommendations for treatment of Neisseria gonorrhoeae, Chlamydia 
trachomatis, and Trichomonas vaginalis; 2) addition of metronidazole to the 
recommended treatment regimen for pelvic inflammatory disease; 3) 
alternative treatment options for bacterial vaginosis; 4) management of 
Mycoplasma genitalium; 5) human papillomavirus vaccine recommendations and 
counseling messages; 6) expanded risk factors for syphilis testing among 
pregnant women; 7) one-time testing for hepatitis C infection; 8) 
evaluation of men who have sex with men after sexual assault; and 9) 
two-step testing for serologic diagnosis of genital herpes simplex virus. 
Physicians and other health care providers can use these guidelines to 
assist in prevention and treatment of STIs. </v>
      </c>
      <c r="D120" s="8" t="s">
        <v>8</v>
      </c>
      <c r="E120" s="5"/>
      <c r="F120" s="5" t="s">
        <v>252</v>
      </c>
      <c r="G120" s="5" t="s">
        <v>52</v>
      </c>
    </row>
    <row r="121" spans="1:7" ht="12.5">
      <c r="A121" s="9">
        <v>29213101</v>
      </c>
      <c r="B121" s="10" t="s">
        <v>253</v>
      </c>
      <c r="C121" s="10"/>
      <c r="D121" s="9" t="s">
        <v>15</v>
      </c>
      <c r="E121" s="9" t="s">
        <v>16</v>
      </c>
      <c r="F121" s="9" t="s">
        <v>254</v>
      </c>
      <c r="G121" s="9" t="s">
        <v>10</v>
      </c>
    </row>
    <row r="122" spans="1:7" ht="12.5">
      <c r="A122" s="5">
        <v>25427572</v>
      </c>
      <c r="B122" s="6" t="s">
        <v>255</v>
      </c>
      <c r="C122" s="12"/>
      <c r="D122" s="5" t="s">
        <v>26</v>
      </c>
      <c r="E122" s="5"/>
      <c r="F122" s="5" t="s">
        <v>256</v>
      </c>
      <c r="G122" s="5" t="s">
        <v>31</v>
      </c>
    </row>
    <row r="123" spans="1:7" ht="12.5">
      <c r="A123" s="9">
        <v>27449234</v>
      </c>
      <c r="B123" s="10" t="s">
        <v>257</v>
      </c>
      <c r="C123" s="12"/>
      <c r="D123" s="9" t="s">
        <v>26</v>
      </c>
      <c r="E123" s="9"/>
      <c r="F123" s="9" t="s">
        <v>258</v>
      </c>
      <c r="G123" s="9" t="s">
        <v>28</v>
      </c>
    </row>
    <row r="124" spans="1:7" ht="12.5">
      <c r="A124" s="5">
        <v>30727713</v>
      </c>
      <c r="B124" s="6" t="s">
        <v>259</v>
      </c>
      <c r="C124" s="12"/>
      <c r="D124" s="5" t="s">
        <v>26</v>
      </c>
      <c r="E124" s="5"/>
      <c r="F124" s="5" t="s">
        <v>155</v>
      </c>
      <c r="G124" s="5" t="s">
        <v>118</v>
      </c>
    </row>
    <row r="125" spans="1:7" ht="12.5">
      <c r="A125" s="9">
        <v>34419740</v>
      </c>
      <c r="B125" s="10" t="s">
        <v>260</v>
      </c>
      <c r="C125" s="12"/>
      <c r="D125" s="9" t="s">
        <v>26</v>
      </c>
      <c r="E125" s="9"/>
      <c r="F125" s="9" t="s">
        <v>261</v>
      </c>
      <c r="G125" s="9" t="s">
        <v>41</v>
      </c>
    </row>
    <row r="126" spans="1:7" ht="12.5">
      <c r="A126" s="5">
        <v>30047666</v>
      </c>
      <c r="B126" s="6" t="s">
        <v>262</v>
      </c>
      <c r="C126" s="12"/>
      <c r="D126" s="5" t="s">
        <v>26</v>
      </c>
      <c r="E126" s="5"/>
      <c r="F126" s="5" t="s">
        <v>263</v>
      </c>
      <c r="G126" s="5" t="s">
        <v>41</v>
      </c>
    </row>
    <row r="127" spans="1:7" ht="12.5">
      <c r="A127" s="9">
        <v>27191699</v>
      </c>
      <c r="B127" s="10" t="s">
        <v>264</v>
      </c>
      <c r="C127" s="12"/>
      <c r="D127" s="9" t="s">
        <v>26</v>
      </c>
      <c r="E127" s="9"/>
      <c r="F127" s="9" t="s">
        <v>265</v>
      </c>
      <c r="G127" s="9" t="s">
        <v>118</v>
      </c>
    </row>
    <row r="128" spans="1:7" ht="12.5">
      <c r="A128" s="5">
        <v>30657464</v>
      </c>
      <c r="B128" s="6" t="s">
        <v>266</v>
      </c>
      <c r="C128" s="12"/>
      <c r="D128" s="5" t="s">
        <v>26</v>
      </c>
      <c r="E128" s="5"/>
      <c r="F128" s="5" t="s">
        <v>155</v>
      </c>
      <c r="G128" s="5" t="s">
        <v>118</v>
      </c>
    </row>
    <row r="129" spans="1:7" ht="12.5">
      <c r="A129" s="9">
        <v>31170281</v>
      </c>
      <c r="B129" s="10" t="s">
        <v>267</v>
      </c>
      <c r="C129" s="12"/>
      <c r="D129" s="9" t="s">
        <v>26</v>
      </c>
      <c r="E129" s="9"/>
      <c r="F129" s="9" t="s">
        <v>268</v>
      </c>
      <c r="G129" s="9" t="s">
        <v>31</v>
      </c>
    </row>
    <row r="130" spans="1:7" ht="12.5">
      <c r="A130" s="5">
        <v>28814585</v>
      </c>
      <c r="B130" s="6" t="s">
        <v>269</v>
      </c>
      <c r="C130" s="12"/>
      <c r="D130" s="5" t="s">
        <v>26</v>
      </c>
      <c r="E130" s="5"/>
      <c r="F130" s="5" t="s">
        <v>270</v>
      </c>
      <c r="G130" s="5" t="s">
        <v>41</v>
      </c>
    </row>
    <row r="131" spans="1:7" ht="12.5">
      <c r="A131" s="9">
        <v>29225148</v>
      </c>
      <c r="B131" s="10" t="s">
        <v>271</v>
      </c>
      <c r="C131" s="12"/>
      <c r="D131" s="9" t="s">
        <v>26</v>
      </c>
      <c r="E131" s="9"/>
      <c r="F131" s="9" t="s">
        <v>78</v>
      </c>
      <c r="G131" s="9" t="s">
        <v>10</v>
      </c>
    </row>
    <row r="132" spans="1:7" ht="12.5">
      <c r="A132" s="5">
        <v>29231153</v>
      </c>
      <c r="B132" s="6" t="s">
        <v>272</v>
      </c>
      <c r="C132" s="12"/>
      <c r="D132" s="5" t="s">
        <v>26</v>
      </c>
      <c r="E132" s="5"/>
      <c r="F132" s="5" t="s">
        <v>273</v>
      </c>
      <c r="G132" s="5" t="s">
        <v>13</v>
      </c>
    </row>
    <row r="133" spans="1:7" ht="12.5">
      <c r="A133" s="9">
        <v>29182725</v>
      </c>
      <c r="B133" s="10" t="s">
        <v>274</v>
      </c>
      <c r="C133" s="12"/>
      <c r="D133" s="9" t="s">
        <v>26</v>
      </c>
      <c r="E133" s="9"/>
      <c r="F133" s="9" t="s">
        <v>275</v>
      </c>
      <c r="G133" s="9" t="s">
        <v>31</v>
      </c>
    </row>
    <row r="134" spans="1:7" ht="12.5">
      <c r="A134" s="5">
        <v>27090631</v>
      </c>
      <c r="B134" s="6" t="s">
        <v>276</v>
      </c>
      <c r="C134" s="12"/>
      <c r="D134" s="5" t="s">
        <v>26</v>
      </c>
      <c r="E134" s="5"/>
      <c r="F134" s="5" t="s">
        <v>277</v>
      </c>
      <c r="G134" s="5" t="s">
        <v>49</v>
      </c>
    </row>
    <row r="135" spans="1:7" ht="12.5">
      <c r="A135" s="9">
        <v>29530847</v>
      </c>
      <c r="B135" s="10" t="s">
        <v>278</v>
      </c>
      <c r="C135" s="12"/>
      <c r="D135" s="9" t="s">
        <v>26</v>
      </c>
      <c r="E135" s="9"/>
      <c r="F135" s="9" t="s">
        <v>279</v>
      </c>
      <c r="G135" s="9" t="s">
        <v>49</v>
      </c>
    </row>
    <row r="136" spans="1:7" ht="12.5">
      <c r="A136" s="5">
        <v>26316384</v>
      </c>
      <c r="B136" s="6" t="s">
        <v>280</v>
      </c>
      <c r="C136" s="12"/>
      <c r="D136" s="5" t="s">
        <v>26</v>
      </c>
      <c r="E136" s="5"/>
      <c r="F136" s="5" t="s">
        <v>228</v>
      </c>
      <c r="G136" s="5" t="s">
        <v>86</v>
      </c>
    </row>
    <row r="137" spans="1:7" ht="12.5">
      <c r="A137" s="9">
        <v>34402689</v>
      </c>
      <c r="B137" s="10" t="s">
        <v>281</v>
      </c>
      <c r="C137" s="12"/>
      <c r="D137" s="9" t="s">
        <v>26</v>
      </c>
      <c r="E137" s="9"/>
      <c r="F137" s="9" t="s">
        <v>282</v>
      </c>
      <c r="G137" s="9" t="s">
        <v>49</v>
      </c>
    </row>
    <row r="138" spans="1:7" ht="12.5">
      <c r="A138" s="5">
        <v>31661379</v>
      </c>
      <c r="B138" s="6" t="s">
        <v>283</v>
      </c>
      <c r="C138" s="12"/>
      <c r="D138" s="5" t="s">
        <v>26</v>
      </c>
      <c r="E138" s="5" t="s">
        <v>284</v>
      </c>
      <c r="F138" s="5">
        <v>2019</v>
      </c>
      <c r="G138" s="5" t="s">
        <v>13</v>
      </c>
    </row>
    <row r="139" spans="1:7" ht="12.5">
      <c r="A139" s="9">
        <v>24074904</v>
      </c>
      <c r="B139" s="10" t="s">
        <v>285</v>
      </c>
      <c r="C139" s="12"/>
      <c r="D139" s="9" t="s">
        <v>26</v>
      </c>
      <c r="E139" s="9"/>
      <c r="F139" s="9" t="s">
        <v>286</v>
      </c>
      <c r="G139" s="9" t="s">
        <v>13</v>
      </c>
    </row>
    <row r="140" spans="1:7" ht="12.5">
      <c r="A140" s="5">
        <v>32116136</v>
      </c>
      <c r="B140" s="6" t="s">
        <v>287</v>
      </c>
      <c r="C140" s="12"/>
      <c r="D140" s="5" t="s">
        <v>26</v>
      </c>
      <c r="E140" s="5"/>
      <c r="F140" s="5" t="s">
        <v>288</v>
      </c>
      <c r="G140" s="5" t="s">
        <v>10</v>
      </c>
    </row>
    <row r="141" spans="1:7" ht="12.5">
      <c r="A141" s="9">
        <v>25735717</v>
      </c>
      <c r="B141" s="10" t="s">
        <v>289</v>
      </c>
      <c r="C141" s="12"/>
      <c r="D141" s="9" t="s">
        <v>26</v>
      </c>
      <c r="E141" s="9"/>
      <c r="F141" s="9" t="s">
        <v>290</v>
      </c>
      <c r="G141" s="9" t="s">
        <v>28</v>
      </c>
    </row>
    <row r="142" spans="1:7" ht="12.5">
      <c r="A142" s="5">
        <v>30482267</v>
      </c>
      <c r="B142" s="6" t="s">
        <v>291</v>
      </c>
      <c r="C142" s="12"/>
      <c r="D142" s="5" t="s">
        <v>26</v>
      </c>
      <c r="E142" s="5"/>
      <c r="F142" s="5" t="s">
        <v>292</v>
      </c>
      <c r="G142" s="5" t="s">
        <v>31</v>
      </c>
    </row>
    <row r="143" spans="1:7" ht="12.5">
      <c r="A143" s="9">
        <v>23351067</v>
      </c>
      <c r="B143" s="10" t="s">
        <v>293</v>
      </c>
      <c r="C143" s="12"/>
      <c r="D143" s="9" t="s">
        <v>26</v>
      </c>
      <c r="E143" s="9"/>
      <c r="F143" s="9" t="s">
        <v>294</v>
      </c>
      <c r="G143" s="9" t="s">
        <v>13</v>
      </c>
    </row>
    <row r="144" spans="1:7" ht="12.5">
      <c r="A144" s="5">
        <v>22492861</v>
      </c>
      <c r="B144" s="6" t="s">
        <v>295</v>
      </c>
      <c r="C144" s="12"/>
      <c r="D144" s="5" t="s">
        <v>26</v>
      </c>
      <c r="E144" s="5"/>
      <c r="F144" s="5" t="s">
        <v>296</v>
      </c>
      <c r="G144" s="5" t="s">
        <v>41</v>
      </c>
    </row>
    <row r="145" spans="1:7" ht="12.5">
      <c r="A145" s="9">
        <v>30858209</v>
      </c>
      <c r="B145" s="10" t="s">
        <v>297</v>
      </c>
      <c r="C145" s="12"/>
      <c r="D145" s="9" t="s">
        <v>26</v>
      </c>
      <c r="E145" s="9"/>
      <c r="F145" s="9" t="s">
        <v>298</v>
      </c>
      <c r="G145" s="9" t="s">
        <v>13</v>
      </c>
    </row>
    <row r="146" spans="1:7" ht="12.5">
      <c r="A146" s="5">
        <v>29924264</v>
      </c>
      <c r="B146" s="6" t="s">
        <v>299</v>
      </c>
      <c r="C146" s="12"/>
      <c r="D146" s="5" t="s">
        <v>26</v>
      </c>
      <c r="E146" s="5"/>
      <c r="F146" s="5" t="s">
        <v>300</v>
      </c>
      <c r="G146" s="5" t="s">
        <v>118</v>
      </c>
    </row>
    <row r="147" spans="1:7" ht="12.5">
      <c r="A147" s="9">
        <v>25253760</v>
      </c>
      <c r="B147" s="10" t="s">
        <v>301</v>
      </c>
      <c r="C147" s="12"/>
      <c r="D147" s="9" t="s">
        <v>26</v>
      </c>
      <c r="E147" s="9"/>
      <c r="F147" s="9" t="s">
        <v>120</v>
      </c>
      <c r="G147" s="9" t="s">
        <v>18</v>
      </c>
    </row>
    <row r="148" spans="1:7" ht="12.5">
      <c r="A148" s="5">
        <v>25639637</v>
      </c>
      <c r="B148" s="6" t="s">
        <v>302</v>
      </c>
      <c r="C148" s="12"/>
      <c r="D148" s="5" t="s">
        <v>26</v>
      </c>
      <c r="E148" s="5"/>
      <c r="F148" s="5" t="s">
        <v>303</v>
      </c>
      <c r="G148" s="5" t="s">
        <v>52</v>
      </c>
    </row>
    <row r="149" spans="1:7" ht="12.5">
      <c r="A149" s="9">
        <v>27185804</v>
      </c>
      <c r="B149" s="10" t="s">
        <v>304</v>
      </c>
      <c r="C149" s="12"/>
      <c r="D149" s="9" t="s">
        <v>26</v>
      </c>
      <c r="E149" s="9"/>
      <c r="F149" s="9" t="s">
        <v>305</v>
      </c>
      <c r="G149" s="9" t="s">
        <v>31</v>
      </c>
    </row>
    <row r="150" spans="1:7" ht="12.5">
      <c r="A150" s="5">
        <v>33200978</v>
      </c>
      <c r="B150" s="6" t="s">
        <v>306</v>
      </c>
      <c r="C150" s="12"/>
      <c r="D150" s="5" t="s">
        <v>26</v>
      </c>
      <c r="E150" s="5"/>
      <c r="F150" s="5" t="s">
        <v>307</v>
      </c>
      <c r="G150" s="5" t="s">
        <v>49</v>
      </c>
    </row>
    <row r="151" spans="1:7" ht="12.5">
      <c r="A151" s="9">
        <v>30448519</v>
      </c>
      <c r="B151" s="10" t="s">
        <v>308</v>
      </c>
      <c r="C151" s="12"/>
      <c r="D151" s="9" t="s">
        <v>26</v>
      </c>
      <c r="E151" s="9"/>
      <c r="F151" s="9" t="s">
        <v>234</v>
      </c>
      <c r="G151" s="9" t="s">
        <v>18</v>
      </c>
    </row>
    <row r="152" spans="1:7" ht="12.5">
      <c r="A152" s="5">
        <v>34118893</v>
      </c>
      <c r="B152" s="6" t="s">
        <v>309</v>
      </c>
      <c r="C152" s="12"/>
      <c r="D152" s="5" t="s">
        <v>26</v>
      </c>
      <c r="E152" s="5"/>
      <c r="F152" s="5" t="s">
        <v>310</v>
      </c>
      <c r="G152" s="5" t="s">
        <v>31</v>
      </c>
    </row>
    <row r="153" spans="1:7" ht="12.5">
      <c r="A153" s="9">
        <v>31507264</v>
      </c>
      <c r="B153" s="10" t="s">
        <v>311</v>
      </c>
      <c r="C153" s="12"/>
      <c r="D153" s="9" t="s">
        <v>26</v>
      </c>
      <c r="E153" s="9"/>
      <c r="F153" s="9" t="s">
        <v>117</v>
      </c>
      <c r="G153" s="9" t="s">
        <v>118</v>
      </c>
    </row>
    <row r="154" spans="1:7" ht="12.5">
      <c r="A154" s="5">
        <v>28893785</v>
      </c>
      <c r="B154" s="6" t="s">
        <v>312</v>
      </c>
      <c r="C154" s="5" t="s">
        <v>313</v>
      </c>
      <c r="D154" s="5" t="s">
        <v>20</v>
      </c>
      <c r="E154" s="5" t="s">
        <v>23</v>
      </c>
      <c r="F154" s="5" t="s">
        <v>314</v>
      </c>
      <c r="G154" s="5" t="s">
        <v>13</v>
      </c>
    </row>
    <row r="155" spans="1:7" ht="12.5">
      <c r="A155" s="9">
        <v>31162022</v>
      </c>
      <c r="B155" s="10" t="s">
        <v>315</v>
      </c>
      <c r="C155" s="12" t="str">
        <f ca="1">IFERROR(__xludf.DUMMYFUNCTION("IMPORTXML(""https://pubmed.ncbi.nlm.nih.gov/""&amp;A161,""/html/body/div[5]/main/div[2]/div/p/text()"")")," In 2018, the European Centre for Disease Prevention and Control reported 
the first cases of extensively drug-resistant Neisseria gonorrhoeae 
infections in Europe. Seeking new options for antimicrobial therapy we 
investigated the susceptibility of N. g"&amp;"onorrhoeae to nitroxoline (NIT) and 
mecillinam (MCM), both of which are currently only indicated to treat 
uncomplicated urinary tract infections. Clinical N. gonorrhoeae isolates 
with non-susceptibility to penicillin from two German medical centres wer"&amp;"e 
included (n =27). Most isolates were also non-susceptible to a range of 
other anti-gonococcal antimicrobials (cefotaxime, ciprofloxacin, 
azithromycin, tetracycline). All isolates were further characterized by 
multi-locus sequence typing. MICs of pen"&amp;"icillin and cefotaxime were 
determined by agar gradient diffusion. Production of penicillinase was 
tested by cefinase disk test. Susceptibility of MCM was investigated by 
agar dilution, NIT by agar dilution and disk diffusion. Penicillin MICs 
ranged f"&amp;"rom 0.125 to 64 mg l")</f>
        <v xml:space="preserve"> In 2018, the European Centre for Disease Prevention and Control reported 
the first cases of extensively drug-resistant Neisseria gonorrhoeae 
infections in Europe. Seeking new options for antimicrobial therapy we 
investigated the susceptibility of N. gonorrhoeae to nitroxoline (NIT) and 
mecillinam (MCM), both of which are currently only indicated to treat 
uncomplicated urinary tract infections. Clinical N. gonorrhoeae isolates 
with non-susceptibility to penicillin from two German medical centres were 
included (n =27). Most isolates were also non-susceptible to a range of 
other anti-gonococcal antimicrobials (cefotaxime, ciprofloxacin, 
azithromycin, tetracycline). All isolates were further characterized by 
multi-locus sequence typing. MICs of penicillin and cefotaxime were 
determined by agar gradient diffusion. Production of penicillinase was 
tested by cefinase disk test. Susceptibility of MCM was investigated by 
agar dilution, NIT by agar dilution and disk diffusion. Penicillin MICs 
ranged from 0.125 to 64 mg l</v>
      </c>
      <c r="D155" s="9" t="s">
        <v>20</v>
      </c>
      <c r="E155" s="9" t="s">
        <v>33</v>
      </c>
      <c r="F155" s="9" t="s">
        <v>111</v>
      </c>
      <c r="G155" s="9" t="s">
        <v>31</v>
      </c>
    </row>
    <row r="156" spans="1:7" ht="12.5">
      <c r="A156" s="5">
        <v>28069643</v>
      </c>
      <c r="B156" s="6" t="s">
        <v>316</v>
      </c>
      <c r="C156" s="12" t="str">
        <f ca="1">IFERROR(__xludf.DUMMYFUNCTION("""COMPUTED_VALUE""")," and MICs of cefotaxime ranged from &lt; 0.016 to 1 mg l")</f>
        <v xml:space="preserve"> and MICs of cefotaxime ranged from &lt; 0.016 to 1 mg l</v>
      </c>
      <c r="D156" s="5" t="s">
        <v>20</v>
      </c>
      <c r="E156" s="5" t="s">
        <v>23</v>
      </c>
      <c r="F156" s="5" t="s">
        <v>317</v>
      </c>
      <c r="G156" s="5" t="s">
        <v>13</v>
      </c>
    </row>
    <row r="157" spans="1:7" ht="12.5">
      <c r="A157" s="9">
        <v>24492260</v>
      </c>
      <c r="B157" s="10" t="s">
        <v>318</v>
      </c>
      <c r="C157" s="12" t="str">
        <f ca="1">IFERROR(__xludf.DUMMYFUNCTION("""COMPUTED_VALUE""")," . Five isolates were penicillinase-producers. MICs of MCM ranged from 16 
to &gt; 128 mg l")</f>
        <v xml:space="preserve"> . Five isolates were penicillinase-producers. MICs of MCM ranged from 16 
to &gt; 128 mg l</v>
      </c>
      <c r="D157" s="9" t="s">
        <v>20</v>
      </c>
      <c r="E157" s="9" t="s">
        <v>23</v>
      </c>
      <c r="F157" s="9" t="s">
        <v>319</v>
      </c>
      <c r="G157" s="9" t="s">
        <v>28</v>
      </c>
    </row>
    <row r="158" spans="1:7" ht="12.5">
      <c r="A158" s="5">
        <v>29339382</v>
      </c>
      <c r="B158" s="6" t="s">
        <v>320</v>
      </c>
      <c r="C158" s="12" t="str">
        <f ca="1">IFERROR(__xludf.DUMMYFUNCTION("""COMPUTED_VALUE""")," whereas MICs of NIT ranged from 0.125 to 2 mg l")</f>
        <v xml:space="preserve"> whereas MICs of NIT ranged from 0.125 to 2 mg l</v>
      </c>
      <c r="D158" s="5" t="s">
        <v>20</v>
      </c>
      <c r="E158" s="5" t="s">
        <v>23</v>
      </c>
      <c r="F158" s="5" t="s">
        <v>321</v>
      </c>
      <c r="G158" s="5" t="s">
        <v>118</v>
      </c>
    </row>
    <row r="159" spans="1:7" ht="12.5">
      <c r="A159" s="9">
        <v>28615273</v>
      </c>
      <c r="B159" s="10" t="s">
        <v>322</v>
      </c>
      <c r="C159" s="12" t="str">
        <f ca="1">IFERROR(__xludf.DUMMYFUNCTION("""COMPUTED_VALUE""")," . NIT disk diffusion (median zone diameter 32 mm) correlated well with 
results from agar dilution. We demonstrated excellent in vitro activity of 
NIT against clinical N. gonorrhoeae isolates with non-susceptibility to 
standard anti-gonococcal antibiot"&amp;"ics. MCM activity was unsatisfactory. 
Correlation of agar dilution and disk diffusion in NIT susceptibility 
testing is an important aspect with potential clinical implications. ")</f>
        <v xml:space="preserve"> . NIT disk diffusion (median zone diameter 32 mm) correlated well with 
results from agar dilution. We demonstrated excellent in vitro activity of 
NIT against clinical N. gonorrhoeae isolates with non-susceptibility to 
standard anti-gonococcal antibiotics. MCM activity was unsatisfactory. 
Correlation of agar dilution and disk diffusion in NIT susceptibility 
testing is an important aspect with potential clinical implications. </v>
      </c>
      <c r="D159" s="9" t="s">
        <v>20</v>
      </c>
      <c r="E159" s="9" t="s">
        <v>33</v>
      </c>
      <c r="F159" s="9" t="s">
        <v>323</v>
      </c>
      <c r="G159" s="9" t="s">
        <v>41</v>
      </c>
    </row>
    <row r="160" spans="1:7" ht="12.5">
      <c r="A160" s="5">
        <v>29617982</v>
      </c>
      <c r="B160" s="6" t="s">
        <v>324</v>
      </c>
      <c r="C160" s="13" t="s">
        <v>325</v>
      </c>
      <c r="D160" s="5" t="s">
        <v>20</v>
      </c>
      <c r="E160" s="5" t="s">
        <v>23</v>
      </c>
      <c r="F160" s="5" t="s">
        <v>326</v>
      </c>
      <c r="G160" s="5" t="s">
        <v>49</v>
      </c>
    </row>
    <row r="161" spans="1:7" ht="12.5">
      <c r="A161" s="9">
        <v>33207228</v>
      </c>
      <c r="B161" s="10" t="s">
        <v>327</v>
      </c>
      <c r="C161" s="13" t="s">
        <v>328</v>
      </c>
      <c r="D161" s="9" t="s">
        <v>20</v>
      </c>
      <c r="E161" s="9" t="s">
        <v>33</v>
      </c>
      <c r="F161" s="9" t="s">
        <v>307</v>
      </c>
      <c r="G161" s="9" t="s">
        <v>73</v>
      </c>
    </row>
    <row r="162" spans="1:7" ht="12.5">
      <c r="A162" s="5">
        <v>27902560</v>
      </c>
      <c r="B162" s="6" t="s">
        <v>329</v>
      </c>
      <c r="C162" s="13" t="s">
        <v>328</v>
      </c>
      <c r="D162" s="5" t="s">
        <v>20</v>
      </c>
      <c r="E162" s="5" t="s">
        <v>33</v>
      </c>
      <c r="F162" s="5" t="s">
        <v>330</v>
      </c>
      <c r="G162" s="5" t="s">
        <v>18</v>
      </c>
    </row>
    <row r="163" spans="1:7" ht="12.5">
      <c r="A163" s="9">
        <v>25970311</v>
      </c>
      <c r="B163" s="10" t="s">
        <v>331</v>
      </c>
      <c r="C163" s="13" t="s">
        <v>332</v>
      </c>
      <c r="D163" s="9" t="s">
        <v>20</v>
      </c>
      <c r="E163" s="9" t="s">
        <v>33</v>
      </c>
      <c r="F163" s="9" t="s">
        <v>17</v>
      </c>
      <c r="G163" s="9" t="s">
        <v>41</v>
      </c>
    </row>
    <row r="164" spans="1:7" ht="12.5">
      <c r="A164" s="5">
        <v>24189248</v>
      </c>
      <c r="B164" s="6" t="s">
        <v>333</v>
      </c>
      <c r="C164" s="13" t="s">
        <v>334</v>
      </c>
      <c r="D164" s="5" t="s">
        <v>20</v>
      </c>
      <c r="E164" s="5" t="s">
        <v>33</v>
      </c>
      <c r="F164" s="5">
        <v>2014</v>
      </c>
      <c r="G164" s="5" t="s">
        <v>31</v>
      </c>
    </row>
    <row r="165" spans="1:7" ht="12.5">
      <c r="A165" s="9">
        <v>32120033</v>
      </c>
      <c r="B165" s="10" t="s">
        <v>335</v>
      </c>
      <c r="C165" s="13" t="s">
        <v>336</v>
      </c>
      <c r="D165" s="9" t="s">
        <v>20</v>
      </c>
      <c r="E165" s="9" t="s">
        <v>33</v>
      </c>
      <c r="F165" s="9" t="s">
        <v>337</v>
      </c>
      <c r="G165" s="9" t="s">
        <v>10</v>
      </c>
    </row>
    <row r="166" spans="1:7" ht="12.5">
      <c r="A166" s="5">
        <v>27073269</v>
      </c>
      <c r="B166" s="6" t="s">
        <v>338</v>
      </c>
      <c r="C166" s="13" t="s">
        <v>339</v>
      </c>
      <c r="D166" s="5" t="s">
        <v>20</v>
      </c>
      <c r="E166" s="5" t="s">
        <v>23</v>
      </c>
      <c r="F166" s="5" t="s">
        <v>210</v>
      </c>
      <c r="G166" s="5" t="s">
        <v>13</v>
      </c>
    </row>
    <row r="167" spans="1:7" ht="12.5">
      <c r="A167" s="9">
        <v>33077658</v>
      </c>
      <c r="B167" s="10" t="s">
        <v>340</v>
      </c>
      <c r="C167" s="13" t="s">
        <v>341</v>
      </c>
      <c r="D167" s="9" t="s">
        <v>20</v>
      </c>
      <c r="E167" s="9" t="s">
        <v>23</v>
      </c>
      <c r="F167" s="9" t="s">
        <v>342</v>
      </c>
      <c r="G167" s="9" t="s">
        <v>118</v>
      </c>
    </row>
    <row r="168" spans="1:7" ht="12.5">
      <c r="A168" s="5">
        <v>32661900</v>
      </c>
      <c r="B168" s="6" t="s">
        <v>343</v>
      </c>
      <c r="C168" s="13" t="s">
        <v>344</v>
      </c>
      <c r="D168" s="5" t="s">
        <v>20</v>
      </c>
      <c r="E168" s="5" t="s">
        <v>142</v>
      </c>
      <c r="F168" s="5" t="s">
        <v>345</v>
      </c>
      <c r="G168" s="5" t="s">
        <v>28</v>
      </c>
    </row>
    <row r="169" spans="1:7" ht="12.5">
      <c r="A169" s="9">
        <v>23231859</v>
      </c>
      <c r="B169" s="10" t="s">
        <v>346</v>
      </c>
      <c r="C169" s="13" t="s">
        <v>347</v>
      </c>
      <c r="D169" s="9" t="s">
        <v>20</v>
      </c>
      <c r="E169" s="9" t="s">
        <v>33</v>
      </c>
      <c r="F169" s="9" t="s">
        <v>348</v>
      </c>
      <c r="G169" s="9" t="s">
        <v>49</v>
      </c>
    </row>
    <row r="170" spans="1:7" ht="12.5">
      <c r="A170" s="5">
        <v>34539665</v>
      </c>
      <c r="B170" s="6" t="s">
        <v>349</v>
      </c>
      <c r="C170" s="13" t="s">
        <v>350</v>
      </c>
      <c r="D170" s="5" t="s">
        <v>20</v>
      </c>
      <c r="E170" s="5" t="s">
        <v>177</v>
      </c>
      <c r="F170" s="5" t="s">
        <v>351</v>
      </c>
      <c r="G170" s="5" t="s">
        <v>49</v>
      </c>
    </row>
    <row r="171" spans="1:7" ht="12.5">
      <c r="A171" s="9">
        <v>27890419</v>
      </c>
      <c r="B171" s="10" t="s">
        <v>352</v>
      </c>
      <c r="C171" s="13" t="s">
        <v>353</v>
      </c>
      <c r="D171" s="9" t="s">
        <v>20</v>
      </c>
      <c r="E171" s="9" t="s">
        <v>33</v>
      </c>
      <c r="F171" s="9" t="s">
        <v>222</v>
      </c>
      <c r="G171" s="9" t="s">
        <v>52</v>
      </c>
    </row>
    <row r="172" spans="1:7" ht="12.5">
      <c r="A172" s="5">
        <v>32530591</v>
      </c>
      <c r="B172" s="6" t="s">
        <v>354</v>
      </c>
      <c r="C172" s="13" t="s">
        <v>355</v>
      </c>
      <c r="D172" s="5" t="s">
        <v>20</v>
      </c>
      <c r="E172" s="5" t="s">
        <v>23</v>
      </c>
      <c r="F172" s="5" t="s">
        <v>356</v>
      </c>
      <c r="G172" s="5" t="s">
        <v>18</v>
      </c>
    </row>
    <row r="173" spans="1:7" ht="12.5">
      <c r="A173" s="9">
        <v>28784667</v>
      </c>
      <c r="B173" s="10" t="s">
        <v>357</v>
      </c>
      <c r="C173" s="13" t="s">
        <v>358</v>
      </c>
      <c r="D173" s="9" t="s">
        <v>20</v>
      </c>
      <c r="E173" s="9" t="s">
        <v>23</v>
      </c>
      <c r="F173" s="9" t="s">
        <v>359</v>
      </c>
      <c r="G173" s="9" t="s">
        <v>28</v>
      </c>
    </row>
    <row r="174" spans="1:7" ht="12.5">
      <c r="A174" s="5">
        <v>34668731</v>
      </c>
      <c r="B174" s="6" t="s">
        <v>360</v>
      </c>
      <c r="C174" s="13" t="s">
        <v>361</v>
      </c>
      <c r="D174" s="5" t="s">
        <v>20</v>
      </c>
      <c r="E174" s="5" t="s">
        <v>33</v>
      </c>
      <c r="F174" s="5" t="s">
        <v>362</v>
      </c>
      <c r="G174" s="5" t="s">
        <v>31</v>
      </c>
    </row>
    <row r="175" spans="1:7" ht="12.5">
      <c r="A175" s="9">
        <v>32966677</v>
      </c>
      <c r="B175" s="10" t="s">
        <v>363</v>
      </c>
      <c r="C175" s="13" t="s">
        <v>364</v>
      </c>
      <c r="D175" s="9" t="s">
        <v>20</v>
      </c>
      <c r="E175" s="9" t="s">
        <v>33</v>
      </c>
      <c r="F175" s="9" t="s">
        <v>365</v>
      </c>
      <c r="G175" s="9" t="s">
        <v>118</v>
      </c>
    </row>
    <row r="176" spans="1:7" ht="12.5">
      <c r="A176" s="5">
        <v>27684341</v>
      </c>
      <c r="B176" s="6" t="s">
        <v>366</v>
      </c>
      <c r="C176" s="12"/>
      <c r="D176" s="5" t="s">
        <v>20</v>
      </c>
      <c r="E176" s="5" t="s">
        <v>23</v>
      </c>
      <c r="F176" s="5" t="s">
        <v>43</v>
      </c>
      <c r="G176" s="5" t="s">
        <v>86</v>
      </c>
    </row>
    <row r="177" spans="1:7" ht="12.5">
      <c r="A177" s="9">
        <v>31654792</v>
      </c>
      <c r="B177" s="10" t="s">
        <v>367</v>
      </c>
      <c r="C177" s="12"/>
      <c r="D177" s="9" t="s">
        <v>20</v>
      </c>
      <c r="E177" s="9" t="s">
        <v>23</v>
      </c>
      <c r="F177" s="9" t="s">
        <v>368</v>
      </c>
      <c r="G177" s="9" t="s">
        <v>49</v>
      </c>
    </row>
    <row r="178" spans="1:7" ht="12.5">
      <c r="A178" s="5">
        <v>29154480</v>
      </c>
      <c r="B178" s="6" t="s">
        <v>369</v>
      </c>
      <c r="C178" s="13" t="s">
        <v>370</v>
      </c>
      <c r="D178" s="5" t="s">
        <v>20</v>
      </c>
      <c r="E178" s="5" t="s">
        <v>23</v>
      </c>
      <c r="F178" s="5" t="s">
        <v>273</v>
      </c>
      <c r="G178" s="5" t="s">
        <v>86</v>
      </c>
    </row>
    <row r="179" spans="1:7" ht="12.5">
      <c r="A179" s="9">
        <v>22537232</v>
      </c>
      <c r="B179" s="10" t="s">
        <v>371</v>
      </c>
      <c r="C179" s="13" t="s">
        <v>372</v>
      </c>
      <c r="D179" s="9" t="s">
        <v>20</v>
      </c>
      <c r="E179" s="9" t="s">
        <v>51</v>
      </c>
      <c r="F179" s="9" t="s">
        <v>373</v>
      </c>
      <c r="G179" s="9" t="s">
        <v>28</v>
      </c>
    </row>
    <row r="180" spans="1:7" ht="12.5">
      <c r="A180" s="5">
        <v>30869583</v>
      </c>
      <c r="B180" s="6" t="s">
        <v>374</v>
      </c>
      <c r="C180" s="13" t="s">
        <v>375</v>
      </c>
      <c r="D180" s="5" t="s">
        <v>20</v>
      </c>
      <c r="E180" s="5" t="s">
        <v>33</v>
      </c>
      <c r="F180" s="5" t="s">
        <v>155</v>
      </c>
      <c r="G180" s="5" t="s">
        <v>49</v>
      </c>
    </row>
    <row r="181" spans="1:7" ht="12.5">
      <c r="A181" s="9">
        <v>29530863</v>
      </c>
      <c r="B181" s="10" t="s">
        <v>376</v>
      </c>
      <c r="C181" s="13" t="s">
        <v>377</v>
      </c>
      <c r="D181" s="9" t="s">
        <v>20</v>
      </c>
      <c r="E181" s="9" t="s">
        <v>23</v>
      </c>
      <c r="F181" s="9" t="s">
        <v>279</v>
      </c>
      <c r="G181" s="9" t="s">
        <v>31</v>
      </c>
    </row>
    <row r="182" spans="1:7" ht="15.5">
      <c r="A182" s="5">
        <v>33671065</v>
      </c>
      <c r="B182" s="6" t="s">
        <v>378</v>
      </c>
      <c r="C182" s="14" t="s">
        <v>379</v>
      </c>
      <c r="D182" s="5" t="s">
        <v>20</v>
      </c>
      <c r="E182" s="5" t="s">
        <v>23</v>
      </c>
      <c r="F182" s="5" t="s">
        <v>380</v>
      </c>
      <c r="G182" s="5" t="s">
        <v>10</v>
      </c>
    </row>
    <row r="183" spans="1:7" ht="12.5">
      <c r="A183" s="9">
        <v>29465685</v>
      </c>
      <c r="B183" s="10" t="s">
        <v>381</v>
      </c>
      <c r="C183" s="12"/>
      <c r="D183" s="9" t="s">
        <v>20</v>
      </c>
      <c r="E183" s="9" t="s">
        <v>33</v>
      </c>
      <c r="F183" s="9" t="s">
        <v>70</v>
      </c>
      <c r="G183" s="9" t="s">
        <v>73</v>
      </c>
    </row>
    <row r="184" spans="1:7" ht="12.5">
      <c r="A184" s="5">
        <v>30067836</v>
      </c>
      <c r="B184" s="6" t="s">
        <v>382</v>
      </c>
      <c r="C184" s="13" t="s">
        <v>383</v>
      </c>
      <c r="D184" s="5" t="s">
        <v>20</v>
      </c>
      <c r="E184" s="5" t="s">
        <v>33</v>
      </c>
      <c r="F184" s="5" t="s">
        <v>326</v>
      </c>
      <c r="G184" s="5" t="s">
        <v>86</v>
      </c>
    </row>
    <row r="185" spans="1:7" ht="12.5">
      <c r="A185" s="9">
        <v>23021501</v>
      </c>
      <c r="B185" s="10" t="s">
        <v>384</v>
      </c>
      <c r="C185" s="13" t="s">
        <v>385</v>
      </c>
      <c r="D185" s="9" t="s">
        <v>20</v>
      </c>
      <c r="E185" s="9" t="s">
        <v>386</v>
      </c>
      <c r="F185" s="9" t="s">
        <v>203</v>
      </c>
      <c r="G185" s="9" t="s">
        <v>31</v>
      </c>
    </row>
    <row r="186" spans="1:7" ht="12.5">
      <c r="A186" s="5">
        <v>28134103</v>
      </c>
      <c r="B186" s="6" t="s">
        <v>387</v>
      </c>
      <c r="C186" s="13" t="s">
        <v>388</v>
      </c>
      <c r="D186" s="5" t="s">
        <v>20</v>
      </c>
      <c r="E186" s="5" t="s">
        <v>33</v>
      </c>
      <c r="F186" s="5" t="s">
        <v>222</v>
      </c>
      <c r="G186" s="5" t="s">
        <v>49</v>
      </c>
    </row>
    <row r="187" spans="1:7" ht="12.5">
      <c r="A187" s="9">
        <v>28876284</v>
      </c>
      <c r="B187" s="10" t="s">
        <v>389</v>
      </c>
      <c r="C187" s="13" t="s">
        <v>390</v>
      </c>
      <c r="D187" s="9" t="s">
        <v>20</v>
      </c>
      <c r="E187" s="9" t="s">
        <v>23</v>
      </c>
      <c r="F187" s="9" t="s">
        <v>391</v>
      </c>
      <c r="G187" s="9" t="s">
        <v>52</v>
      </c>
    </row>
    <row r="188" spans="1:7" ht="12.5">
      <c r="A188" s="5">
        <v>31157931</v>
      </c>
      <c r="B188" s="6" t="s">
        <v>392</v>
      </c>
      <c r="C188" s="13" t="s">
        <v>393</v>
      </c>
      <c r="D188" s="5" t="s">
        <v>20</v>
      </c>
      <c r="E188" s="5" t="s">
        <v>45</v>
      </c>
      <c r="F188" s="5" t="s">
        <v>394</v>
      </c>
      <c r="G188" s="5" t="s">
        <v>18</v>
      </c>
    </row>
    <row r="189" spans="1:7" ht="12.5">
      <c r="A189" s="9">
        <v>24651828</v>
      </c>
      <c r="B189" s="10" t="s">
        <v>395</v>
      </c>
      <c r="C189" s="13" t="s">
        <v>396</v>
      </c>
      <c r="D189" s="9" t="s">
        <v>20</v>
      </c>
      <c r="E189" s="9" t="s">
        <v>23</v>
      </c>
      <c r="F189" s="9" t="s">
        <v>169</v>
      </c>
      <c r="G189" s="9" t="s">
        <v>41</v>
      </c>
    </row>
    <row r="190" spans="1:7" ht="12.5">
      <c r="A190" s="5">
        <v>30275084</v>
      </c>
      <c r="B190" s="6" t="s">
        <v>397</v>
      </c>
      <c r="C190" s="13" t="s">
        <v>398</v>
      </c>
      <c r="D190" s="5" t="s">
        <v>20</v>
      </c>
      <c r="E190" s="5" t="s">
        <v>23</v>
      </c>
      <c r="F190" s="5" t="s">
        <v>399</v>
      </c>
      <c r="G190" s="5" t="s">
        <v>28</v>
      </c>
    </row>
    <row r="191" spans="1:7" ht="12.5">
      <c r="A191" s="9">
        <v>25926405</v>
      </c>
      <c r="B191" s="10" t="s">
        <v>400</v>
      </c>
      <c r="C191" s="12"/>
      <c r="D191" s="9" t="s">
        <v>20</v>
      </c>
      <c r="E191" s="9" t="s">
        <v>33</v>
      </c>
      <c r="F191" s="9" t="s">
        <v>17</v>
      </c>
      <c r="G191" s="9" t="s">
        <v>73</v>
      </c>
    </row>
    <row r="192" spans="1:7" ht="12.5">
      <c r="A192" s="5">
        <v>34320914</v>
      </c>
      <c r="B192" s="6" t="s">
        <v>401</v>
      </c>
      <c r="C192" s="13" t="s">
        <v>402</v>
      </c>
      <c r="D192" s="5" t="s">
        <v>20</v>
      </c>
      <c r="E192" s="5" t="s">
        <v>23</v>
      </c>
      <c r="F192" s="5" t="s">
        <v>261</v>
      </c>
      <c r="G192" s="5" t="s">
        <v>52</v>
      </c>
    </row>
    <row r="193" spans="1:7" ht="12.5">
      <c r="A193" s="9">
        <v>23234737</v>
      </c>
      <c r="B193" s="10" t="s">
        <v>403</v>
      </c>
      <c r="C193" s="13" t="s">
        <v>404</v>
      </c>
      <c r="D193" s="9" t="s">
        <v>20</v>
      </c>
      <c r="E193" s="9" t="s">
        <v>51</v>
      </c>
      <c r="F193" s="9" t="s">
        <v>405</v>
      </c>
      <c r="G193" s="9" t="s">
        <v>86</v>
      </c>
    </row>
    <row r="194" spans="1:7" ht="12.5">
      <c r="A194" s="5">
        <v>30689929</v>
      </c>
      <c r="B194" s="6" t="s">
        <v>406</v>
      </c>
      <c r="C194" s="13" t="s">
        <v>407</v>
      </c>
      <c r="D194" s="5" t="s">
        <v>20</v>
      </c>
      <c r="E194" s="5" t="s">
        <v>51</v>
      </c>
      <c r="F194" s="5" t="s">
        <v>182</v>
      </c>
      <c r="G194" s="5" t="s">
        <v>41</v>
      </c>
    </row>
    <row r="195" spans="1:7" ht="12.5">
      <c r="A195" s="9">
        <v>30266769</v>
      </c>
      <c r="B195" s="10" t="s">
        <v>408</v>
      </c>
      <c r="C195" s="13" t="s">
        <v>409</v>
      </c>
      <c r="D195" s="9" t="s">
        <v>20</v>
      </c>
      <c r="E195" s="9" t="s">
        <v>93</v>
      </c>
      <c r="F195" s="9" t="s">
        <v>410</v>
      </c>
      <c r="G195" s="9" t="s">
        <v>86</v>
      </c>
    </row>
    <row r="196" spans="1:7" ht="12.5">
      <c r="A196" s="5">
        <v>30985632</v>
      </c>
      <c r="B196" s="6" t="s">
        <v>411</v>
      </c>
      <c r="C196" s="13" t="s">
        <v>412</v>
      </c>
      <c r="D196" s="5" t="s">
        <v>20</v>
      </c>
      <c r="E196" s="5" t="s">
        <v>33</v>
      </c>
      <c r="F196" s="5" t="s">
        <v>12</v>
      </c>
      <c r="G196" s="5" t="s">
        <v>31</v>
      </c>
    </row>
    <row r="197" spans="1:7" ht="12.5">
      <c r="A197" s="9">
        <v>31670808</v>
      </c>
      <c r="B197" s="10" t="s">
        <v>413</v>
      </c>
      <c r="C197" s="13" t="s">
        <v>414</v>
      </c>
      <c r="D197" s="9" t="s">
        <v>20</v>
      </c>
      <c r="E197" s="9" t="s">
        <v>33</v>
      </c>
      <c r="F197" s="9" t="s">
        <v>415</v>
      </c>
      <c r="G197" s="9" t="s">
        <v>118</v>
      </c>
    </row>
    <row r="198" spans="1:7" ht="12.5">
      <c r="A198" s="5">
        <v>26652855</v>
      </c>
      <c r="B198" s="6" t="s">
        <v>416</v>
      </c>
      <c r="C198" s="13" t="s">
        <v>417</v>
      </c>
      <c r="D198" s="5" t="s">
        <v>20</v>
      </c>
      <c r="E198" s="5" t="s">
        <v>51</v>
      </c>
      <c r="F198" s="5" t="s">
        <v>418</v>
      </c>
      <c r="G198" s="5" t="s">
        <v>31</v>
      </c>
    </row>
    <row r="199" spans="1:7" ht="12.5">
      <c r="A199" s="9">
        <v>30778550</v>
      </c>
      <c r="B199" s="10" t="s">
        <v>419</v>
      </c>
      <c r="C199" s="13" t="s">
        <v>420</v>
      </c>
      <c r="D199" s="9" t="s">
        <v>20</v>
      </c>
      <c r="E199" s="9" t="s">
        <v>23</v>
      </c>
      <c r="F199" s="9" t="s">
        <v>421</v>
      </c>
      <c r="G199" s="9" t="s">
        <v>73</v>
      </c>
    </row>
    <row r="200" spans="1:7" ht="12.5">
      <c r="A200" s="5">
        <v>34774742</v>
      </c>
      <c r="B200" s="6" t="s">
        <v>422</v>
      </c>
      <c r="C200" s="13" t="s">
        <v>423</v>
      </c>
      <c r="D200" s="5" t="s">
        <v>20</v>
      </c>
      <c r="E200" s="5" t="s">
        <v>23</v>
      </c>
      <c r="F200" s="5" t="s">
        <v>424</v>
      </c>
      <c r="G200" s="5" t="s">
        <v>10</v>
      </c>
    </row>
    <row r="201" spans="1:7" ht="12.5">
      <c r="A201" s="9">
        <v>32035231</v>
      </c>
      <c r="B201" s="10" t="s">
        <v>425</v>
      </c>
      <c r="C201" s="12"/>
      <c r="D201" s="9" t="s">
        <v>20</v>
      </c>
      <c r="E201" s="9" t="s">
        <v>33</v>
      </c>
      <c r="F201" s="9" t="s">
        <v>337</v>
      </c>
      <c r="G201" s="9" t="s">
        <v>86</v>
      </c>
    </row>
    <row r="202" spans="1:7" ht="12.5">
      <c r="A202" s="5">
        <v>33997030</v>
      </c>
      <c r="B202" s="6" t="s">
        <v>426</v>
      </c>
      <c r="C202" s="13" t="s">
        <v>427</v>
      </c>
      <c r="D202" s="5" t="s">
        <v>20</v>
      </c>
      <c r="E202" s="5" t="s">
        <v>51</v>
      </c>
      <c r="F202" s="5" t="s">
        <v>428</v>
      </c>
      <c r="G202" s="5" t="s">
        <v>52</v>
      </c>
    </row>
    <row r="203" spans="1:7" ht="12.5">
      <c r="A203" s="9">
        <v>29247204</v>
      </c>
      <c r="B203" s="10" t="s">
        <v>429</v>
      </c>
      <c r="C203" s="13" t="s">
        <v>430</v>
      </c>
      <c r="D203" s="9" t="s">
        <v>20</v>
      </c>
      <c r="E203" s="9" t="s">
        <v>51</v>
      </c>
      <c r="F203" s="9" t="s">
        <v>431</v>
      </c>
      <c r="G203" s="9" t="s">
        <v>52</v>
      </c>
    </row>
    <row r="204" spans="1:7" ht="12.5">
      <c r="A204" s="5">
        <v>34020481</v>
      </c>
      <c r="B204" s="6" t="s">
        <v>432</v>
      </c>
      <c r="C204" s="13" t="s">
        <v>433</v>
      </c>
      <c r="D204" s="5" t="s">
        <v>20</v>
      </c>
      <c r="E204" s="5" t="s">
        <v>51</v>
      </c>
      <c r="F204" s="5" t="s">
        <v>96</v>
      </c>
      <c r="G204" s="5" t="s">
        <v>28</v>
      </c>
    </row>
    <row r="205" spans="1:7" ht="12.5">
      <c r="A205" s="9">
        <v>32830243</v>
      </c>
      <c r="B205" s="10" t="s">
        <v>434</v>
      </c>
      <c r="C205" s="13" t="s">
        <v>435</v>
      </c>
      <c r="D205" s="9" t="s">
        <v>20</v>
      </c>
      <c r="E205" s="9" t="s">
        <v>33</v>
      </c>
      <c r="F205" s="9" t="s">
        <v>436</v>
      </c>
      <c r="G205" s="9" t="s">
        <v>28</v>
      </c>
    </row>
    <row r="206" spans="1:7" ht="12.5">
      <c r="A206" s="5">
        <v>32149957</v>
      </c>
      <c r="B206" s="6" t="s">
        <v>437</v>
      </c>
      <c r="C206" s="12"/>
      <c r="D206" s="5" t="s">
        <v>20</v>
      </c>
      <c r="E206" s="5" t="s">
        <v>438</v>
      </c>
      <c r="F206" s="5" t="s">
        <v>337</v>
      </c>
      <c r="G206" s="5" t="s">
        <v>118</v>
      </c>
    </row>
    <row r="207" spans="1:7" ht="12.5">
      <c r="A207" s="9">
        <v>24468865</v>
      </c>
      <c r="B207" s="10" t="s">
        <v>439</v>
      </c>
      <c r="C207" s="13" t="s">
        <v>440</v>
      </c>
      <c r="D207" s="9" t="s">
        <v>20</v>
      </c>
      <c r="E207" s="9" t="s">
        <v>33</v>
      </c>
      <c r="F207" s="9" t="s">
        <v>319</v>
      </c>
      <c r="G207" s="9" t="s">
        <v>41</v>
      </c>
    </row>
    <row r="208" spans="1:7" ht="12.5">
      <c r="A208" s="5">
        <v>26747100</v>
      </c>
      <c r="B208" s="6" t="s">
        <v>441</v>
      </c>
      <c r="C208" s="12"/>
      <c r="D208" s="5" t="s">
        <v>20</v>
      </c>
      <c r="E208" s="5" t="s">
        <v>23</v>
      </c>
      <c r="F208" s="5" t="s">
        <v>34</v>
      </c>
      <c r="G208" s="5" t="s">
        <v>49</v>
      </c>
    </row>
    <row r="209" spans="1:7" ht="12.5">
      <c r="A209" s="9">
        <v>25182063</v>
      </c>
      <c r="B209" s="10" t="s">
        <v>442</v>
      </c>
      <c r="C209" s="13" t="s">
        <v>443</v>
      </c>
      <c r="D209" s="9" t="s">
        <v>20</v>
      </c>
      <c r="E209" s="9" t="s">
        <v>23</v>
      </c>
      <c r="F209" s="9" t="s">
        <v>444</v>
      </c>
      <c r="G209" s="9" t="s">
        <v>49</v>
      </c>
    </row>
    <row r="210" spans="1:7" ht="12.5">
      <c r="A210" s="5">
        <v>31760083</v>
      </c>
      <c r="B210" s="6" t="s">
        <v>445</v>
      </c>
      <c r="C210" s="13" t="s">
        <v>446</v>
      </c>
      <c r="D210" s="5" t="s">
        <v>20</v>
      </c>
      <c r="E210" s="5" t="s">
        <v>23</v>
      </c>
      <c r="F210" s="5" t="s">
        <v>368</v>
      </c>
      <c r="G210" s="5" t="s">
        <v>52</v>
      </c>
    </row>
    <row r="211" spans="1:7" ht="12.5">
      <c r="A211" s="9">
        <v>33116506</v>
      </c>
      <c r="B211" s="10" t="s">
        <v>447</v>
      </c>
      <c r="C211" s="13" t="s">
        <v>448</v>
      </c>
      <c r="D211" s="9" t="s">
        <v>20</v>
      </c>
      <c r="E211" s="9" t="s">
        <v>51</v>
      </c>
      <c r="F211" s="9" t="s">
        <v>449</v>
      </c>
      <c r="G211" s="9" t="s">
        <v>18</v>
      </c>
    </row>
    <row r="212" spans="1:7" ht="12.5">
      <c r="A212" s="5">
        <v>33432328</v>
      </c>
      <c r="B212" s="6" t="s">
        <v>450</v>
      </c>
      <c r="C212" s="13" t="s">
        <v>451</v>
      </c>
      <c r="D212" s="5" t="s">
        <v>20</v>
      </c>
      <c r="E212" s="5" t="s">
        <v>33</v>
      </c>
      <c r="F212" s="5" t="s">
        <v>452</v>
      </c>
      <c r="G212" s="5" t="s">
        <v>41</v>
      </c>
    </row>
    <row r="213" spans="1:7" ht="12.5">
      <c r="A213" s="9">
        <v>29726994</v>
      </c>
      <c r="B213" s="10" t="s">
        <v>453</v>
      </c>
      <c r="C213" s="13" t="s">
        <v>454</v>
      </c>
      <c r="D213" s="9" t="s">
        <v>20</v>
      </c>
      <c r="E213" s="9" t="s">
        <v>23</v>
      </c>
      <c r="F213" s="9" t="s">
        <v>326</v>
      </c>
      <c r="G213" s="9" t="s">
        <v>52</v>
      </c>
    </row>
    <row r="214" spans="1:7" ht="12.5">
      <c r="A214" s="5">
        <v>28137938</v>
      </c>
      <c r="B214" s="6" t="s">
        <v>455</v>
      </c>
      <c r="C214" s="13" t="s">
        <v>456</v>
      </c>
      <c r="D214" s="5" t="s">
        <v>20</v>
      </c>
      <c r="E214" s="5" t="s">
        <v>23</v>
      </c>
      <c r="F214" s="5" t="s">
        <v>457</v>
      </c>
      <c r="G214" s="5" t="s">
        <v>118</v>
      </c>
    </row>
    <row r="215" spans="1:7" ht="12.5">
      <c r="A215" s="9">
        <v>29902495</v>
      </c>
      <c r="B215" s="10" t="s">
        <v>458</v>
      </c>
      <c r="C215" s="13" t="s">
        <v>459</v>
      </c>
      <c r="D215" s="9" t="s">
        <v>20</v>
      </c>
      <c r="E215" s="9" t="s">
        <v>93</v>
      </c>
      <c r="F215" s="9" t="s">
        <v>212</v>
      </c>
      <c r="G215" s="9" t="s">
        <v>86</v>
      </c>
    </row>
    <row r="216" spans="1:7" ht="12.5">
      <c r="A216" s="5">
        <v>30357408</v>
      </c>
      <c r="B216" s="6" t="s">
        <v>460</v>
      </c>
      <c r="C216" s="13" t="s">
        <v>461</v>
      </c>
      <c r="D216" s="5" t="s">
        <v>20</v>
      </c>
      <c r="E216" s="5" t="s">
        <v>60</v>
      </c>
      <c r="F216" s="5" t="s">
        <v>462</v>
      </c>
      <c r="G216" s="5" t="s">
        <v>41</v>
      </c>
    </row>
    <row r="217" spans="1:7" ht="12.5">
      <c r="A217" s="9">
        <v>34187371</v>
      </c>
      <c r="B217" s="10" t="s">
        <v>463</v>
      </c>
      <c r="C217" s="13" t="s">
        <v>464</v>
      </c>
      <c r="D217" s="9" t="s">
        <v>20</v>
      </c>
      <c r="E217" s="9" t="s">
        <v>51</v>
      </c>
      <c r="F217" s="9" t="s">
        <v>465</v>
      </c>
      <c r="G217" s="9" t="s">
        <v>52</v>
      </c>
    </row>
    <row r="218" spans="1:7" ht="12.5">
      <c r="A218" s="5">
        <v>31536154</v>
      </c>
      <c r="B218" s="6" t="s">
        <v>466</v>
      </c>
      <c r="C218" s="13" t="s">
        <v>467</v>
      </c>
      <c r="D218" s="5" t="s">
        <v>20</v>
      </c>
      <c r="E218" s="5" t="s">
        <v>468</v>
      </c>
      <c r="F218" s="5" t="s">
        <v>337</v>
      </c>
      <c r="G218" s="5" t="s">
        <v>28</v>
      </c>
    </row>
    <row r="219" spans="1:7" ht="12.5">
      <c r="A219" s="9">
        <v>31424547</v>
      </c>
      <c r="B219" s="10" t="s">
        <v>469</v>
      </c>
      <c r="C219" s="13" t="s">
        <v>470</v>
      </c>
      <c r="D219" s="9" t="s">
        <v>20</v>
      </c>
      <c r="E219" s="9" t="s">
        <v>60</v>
      </c>
      <c r="F219" s="9" t="s">
        <v>471</v>
      </c>
      <c r="G219" s="9" t="s">
        <v>73</v>
      </c>
    </row>
    <row r="220" spans="1:7" ht="12.5">
      <c r="A220" s="5">
        <v>33533239</v>
      </c>
      <c r="B220" s="6" t="s">
        <v>472</v>
      </c>
      <c r="C220" s="13" t="s">
        <v>473</v>
      </c>
      <c r="D220" s="5" t="s">
        <v>20</v>
      </c>
      <c r="E220" s="5" t="s">
        <v>23</v>
      </c>
      <c r="F220" s="5" t="s">
        <v>474</v>
      </c>
      <c r="G220" s="5" t="s">
        <v>86</v>
      </c>
    </row>
    <row r="221" spans="1:7" ht="12.5">
      <c r="A221" s="9">
        <v>32393483</v>
      </c>
      <c r="B221" s="10" t="s">
        <v>475</v>
      </c>
      <c r="C221" s="13" t="s">
        <v>476</v>
      </c>
      <c r="D221" s="9" t="s">
        <v>20</v>
      </c>
      <c r="E221" s="9" t="s">
        <v>23</v>
      </c>
      <c r="F221" s="9" t="s">
        <v>477</v>
      </c>
      <c r="G221" s="9" t="s">
        <v>41</v>
      </c>
    </row>
    <row r="222" spans="1:7" ht="12.5">
      <c r="A222" s="5">
        <v>29796611</v>
      </c>
      <c r="B222" s="6" t="s">
        <v>478</v>
      </c>
      <c r="C222" s="13" t="s">
        <v>479</v>
      </c>
      <c r="D222" s="5" t="s">
        <v>20</v>
      </c>
      <c r="E222" s="5" t="s">
        <v>23</v>
      </c>
      <c r="F222" s="5" t="s">
        <v>326</v>
      </c>
      <c r="G222" s="5" t="s">
        <v>52</v>
      </c>
    </row>
    <row r="223" spans="1:7" ht="12.5">
      <c r="A223" s="9">
        <v>34281392</v>
      </c>
      <c r="B223" s="10" t="s">
        <v>480</v>
      </c>
      <c r="C223" s="13" t="s">
        <v>481</v>
      </c>
      <c r="D223" s="9" t="s">
        <v>36</v>
      </c>
      <c r="E223" s="9" t="s">
        <v>37</v>
      </c>
      <c r="F223" s="9" t="s">
        <v>482</v>
      </c>
      <c r="G223" s="9" t="s">
        <v>49</v>
      </c>
    </row>
    <row r="224" spans="1:7" ht="12.5">
      <c r="A224" s="5">
        <v>28832870</v>
      </c>
      <c r="B224" s="6" t="s">
        <v>483</v>
      </c>
      <c r="C224" s="12"/>
      <c r="D224" s="5" t="s">
        <v>36</v>
      </c>
      <c r="E224" s="5" t="s">
        <v>37</v>
      </c>
      <c r="F224" s="5" t="s">
        <v>484</v>
      </c>
      <c r="G224" s="5" t="s">
        <v>86</v>
      </c>
    </row>
    <row r="225" spans="1:7" ht="12.5">
      <c r="A225" s="9">
        <v>32222210</v>
      </c>
      <c r="B225" s="10" t="s">
        <v>485</v>
      </c>
      <c r="C225" s="12"/>
      <c r="D225" s="9" t="s">
        <v>36</v>
      </c>
      <c r="E225" s="9" t="s">
        <v>37</v>
      </c>
      <c r="F225" s="9" t="s">
        <v>486</v>
      </c>
      <c r="G225" s="9" t="s">
        <v>18</v>
      </c>
    </row>
    <row r="226" spans="1:7" ht="12.5">
      <c r="A226" s="5">
        <v>27037185</v>
      </c>
      <c r="B226" s="6" t="s">
        <v>487</v>
      </c>
      <c r="C226" s="12"/>
      <c r="D226" s="5" t="s">
        <v>36</v>
      </c>
      <c r="E226" s="5" t="s">
        <v>37</v>
      </c>
      <c r="F226" s="5" t="s">
        <v>263</v>
      </c>
      <c r="G226" s="5" t="s">
        <v>31</v>
      </c>
    </row>
    <row r="227" spans="1:7" ht="12.5">
      <c r="A227" s="9">
        <v>30787927</v>
      </c>
      <c r="B227" s="10" t="s">
        <v>488</v>
      </c>
      <c r="C227" s="13" t="s">
        <v>489</v>
      </c>
      <c r="D227" s="9" t="s">
        <v>36</v>
      </c>
      <c r="E227" s="9" t="s">
        <v>37</v>
      </c>
      <c r="F227" s="9" t="s">
        <v>490</v>
      </c>
      <c r="G227" s="9" t="s">
        <v>86</v>
      </c>
    </row>
    <row r="228" spans="1:7" ht="12.5">
      <c r="A228" s="5">
        <v>30352803</v>
      </c>
      <c r="B228" s="6" t="s">
        <v>491</v>
      </c>
      <c r="C228" s="13" t="s">
        <v>492</v>
      </c>
      <c r="D228" s="5" t="s">
        <v>36</v>
      </c>
      <c r="E228" s="5" t="s">
        <v>37</v>
      </c>
      <c r="F228" s="5" t="s">
        <v>493</v>
      </c>
      <c r="G228" s="5" t="s">
        <v>10</v>
      </c>
    </row>
    <row r="229" spans="1:7" ht="12.5">
      <c r="A229" s="9">
        <v>27596531</v>
      </c>
      <c r="B229" s="10" t="s">
        <v>494</v>
      </c>
      <c r="C229" s="13" t="s">
        <v>495</v>
      </c>
      <c r="D229" s="9" t="s">
        <v>36</v>
      </c>
      <c r="E229" s="9"/>
      <c r="F229" s="9" t="s">
        <v>496</v>
      </c>
      <c r="G229" s="9" t="s">
        <v>18</v>
      </c>
    </row>
    <row r="230" spans="1:7" ht="12.5">
      <c r="A230" s="5">
        <v>28802678</v>
      </c>
      <c r="B230" s="6" t="s">
        <v>497</v>
      </c>
      <c r="C230" s="12"/>
      <c r="D230" s="5" t="s">
        <v>36</v>
      </c>
      <c r="E230" s="5" t="s">
        <v>37</v>
      </c>
      <c r="F230" s="5" t="s">
        <v>498</v>
      </c>
      <c r="G230" s="5" t="s">
        <v>86</v>
      </c>
    </row>
    <row r="231" spans="1:7" ht="12.5">
      <c r="A231" s="9">
        <v>31681305</v>
      </c>
      <c r="B231" s="10" t="s">
        <v>499</v>
      </c>
      <c r="C231" s="13" t="s">
        <v>500</v>
      </c>
      <c r="D231" s="9" t="s">
        <v>36</v>
      </c>
      <c r="E231" s="9" t="s">
        <v>16</v>
      </c>
      <c r="F231" s="9" t="s">
        <v>501</v>
      </c>
      <c r="G231" s="9" t="s">
        <v>18</v>
      </c>
    </row>
    <row r="232" spans="1:7" ht="12.5">
      <c r="A232" s="5">
        <v>29914847</v>
      </c>
      <c r="B232" s="6" t="s">
        <v>502</v>
      </c>
      <c r="C232" s="13" t="s">
        <v>503</v>
      </c>
      <c r="D232" s="5" t="s">
        <v>36</v>
      </c>
      <c r="E232" s="5" t="s">
        <v>37</v>
      </c>
      <c r="F232" s="5" t="s">
        <v>504</v>
      </c>
      <c r="G232" s="5" t="s">
        <v>52</v>
      </c>
    </row>
    <row r="233" spans="1:7" ht="12.5">
      <c r="A233" s="9">
        <v>30551148</v>
      </c>
      <c r="B233" s="10" t="s">
        <v>505</v>
      </c>
      <c r="C233" s="13" t="s">
        <v>506</v>
      </c>
      <c r="D233" s="9" t="s">
        <v>36</v>
      </c>
      <c r="E233" s="9" t="s">
        <v>37</v>
      </c>
      <c r="F233" s="9" t="s">
        <v>507</v>
      </c>
      <c r="G233" s="9" t="s">
        <v>73</v>
      </c>
    </row>
    <row r="234" spans="1:7" ht="12.5">
      <c r="A234" s="5">
        <v>32747940</v>
      </c>
      <c r="B234" s="6" t="s">
        <v>508</v>
      </c>
      <c r="C234" s="7" t="str">
        <f ca="1">IFERROR(__xludf.DUMMYFUNCTION("IMPORTXML(""https://pubmed.ncbi.nlm.nih.gov/""&amp;A240,""/html/body/div[5]/main/div[2]/div/p/text()"")"),"#REF!")</f>
        <v>#REF!</v>
      </c>
      <c r="D234" s="8" t="s">
        <v>8</v>
      </c>
      <c r="E234" s="5"/>
      <c r="F234" s="5" t="s">
        <v>509</v>
      </c>
      <c r="G234" s="5" t="s">
        <v>41</v>
      </c>
    </row>
    <row r="235" spans="1:7" ht="12.5">
      <c r="A235" s="9">
        <v>26165433</v>
      </c>
      <c r="B235" s="10" t="s">
        <v>510</v>
      </c>
      <c r="C235" s="7" t="str">
        <f ca="1">IFERROR(__xludf.DUMMYFUNCTION("IMPORTXML(""https://pubmed.ncbi.nlm.nih.gov/""&amp;A241,""/html/body/div[5]/main/div[2]/div/p/text()"")"),"#REF!")</f>
        <v>#REF!</v>
      </c>
      <c r="D235" s="11" t="s">
        <v>8</v>
      </c>
      <c r="E235" s="9"/>
      <c r="F235" s="9" t="s">
        <v>230</v>
      </c>
      <c r="G235" s="9" t="s">
        <v>31</v>
      </c>
    </row>
    <row r="236" spans="1:7" ht="12.5">
      <c r="A236" s="5">
        <v>33859147</v>
      </c>
      <c r="B236" s="6" t="s">
        <v>511</v>
      </c>
      <c r="C236" s="7" t="str">
        <f ca="1">IFERROR(__xludf.DUMMYFUNCTION("IMPORTXML(""https://pubmed.ncbi.nlm.nih.gov/""&amp;A242,""/html/body/div[5]/main/div[2]/div/p/text()"")"),"#REF!")</f>
        <v>#REF!</v>
      </c>
      <c r="D236" s="8" t="s">
        <v>8</v>
      </c>
      <c r="E236" s="5"/>
      <c r="F236" s="5" t="s">
        <v>512</v>
      </c>
      <c r="G236" s="5" t="s">
        <v>31</v>
      </c>
    </row>
    <row r="237" spans="1:7" ht="12.5">
      <c r="A237" s="9">
        <v>35001017</v>
      </c>
      <c r="B237" s="10" t="s">
        <v>513</v>
      </c>
      <c r="C237" s="7" t="str">
        <f ca="1">IFERROR(__xludf.DUMMYFUNCTION("IMPORTXML(""https://pubmed.ncbi.nlm.nih.gov/""&amp;A243,""/html/body/div[5]/main/div[2]/div/p/text()"")"),"#REF!")</f>
        <v>#REF!</v>
      </c>
      <c r="D237" s="11" t="s">
        <v>8</v>
      </c>
      <c r="E237" s="9"/>
      <c r="F237" s="9" t="s">
        <v>514</v>
      </c>
      <c r="G237" s="9" t="s">
        <v>118</v>
      </c>
    </row>
    <row r="238" spans="1:7" ht="12.5">
      <c r="A238" s="5">
        <v>32168225</v>
      </c>
      <c r="B238" s="6" t="s">
        <v>515</v>
      </c>
      <c r="C238" s="7" t="str">
        <f ca="1">IFERROR(__xludf.DUMMYFUNCTION("IMPORTXML(""https://pubmed.ncbi.nlm.nih.gov/""&amp;A244,""/html/body/div[5]/main/div[2]/div/p/text()"")"),"#REF!")</f>
        <v>#REF!</v>
      </c>
      <c r="D238" s="8" t="s">
        <v>8</v>
      </c>
      <c r="E238" s="5"/>
      <c r="F238" s="5" t="s">
        <v>486</v>
      </c>
      <c r="G238" s="5" t="s">
        <v>13</v>
      </c>
    </row>
    <row r="239" spans="1:7" ht="12.5">
      <c r="A239" s="9">
        <v>34172543</v>
      </c>
      <c r="B239" s="10" t="s">
        <v>516</v>
      </c>
      <c r="C239" s="7" t="str">
        <f ca="1">IFERROR(__xludf.DUMMYFUNCTION("IMPORTXML(""https://pubmed.ncbi.nlm.nih.gov/""&amp;A245,""/html/body/div[5]/main/div[2]/div/p/text()"")"),"#REF!")</f>
        <v>#REF!</v>
      </c>
      <c r="D239" s="11" t="s">
        <v>8</v>
      </c>
      <c r="E239" s="9"/>
      <c r="F239" s="9" t="s">
        <v>517</v>
      </c>
      <c r="G239" s="9" t="s">
        <v>73</v>
      </c>
    </row>
    <row r="240" spans="1:7" ht="12.5">
      <c r="A240" s="5">
        <v>28629687</v>
      </c>
      <c r="B240" s="6" t="s">
        <v>518</v>
      </c>
      <c r="C240" s="7" t="str">
        <f ca="1">IFERROR(__xludf.DUMMYFUNCTION("IMPORTXML(""https://pubmed.ncbi.nlm.nih.gov/""&amp;A246,""/html/body/div[5]/main/div[2]/div/p/text()"")"),"#REF!")</f>
        <v>#REF!</v>
      </c>
      <c r="D240" s="8" t="s">
        <v>8</v>
      </c>
      <c r="E240" s="5"/>
      <c r="F240" s="5" t="s">
        <v>72</v>
      </c>
      <c r="G240" s="5" t="s">
        <v>49</v>
      </c>
    </row>
    <row r="241" spans="1:7" ht="12.5">
      <c r="A241" s="9">
        <v>32484428</v>
      </c>
      <c r="B241" s="10" t="s">
        <v>519</v>
      </c>
      <c r="C241" s="7" t="str">
        <f ca="1">IFERROR(__xludf.DUMMYFUNCTION("IMPORTXML(""https://pubmed.ncbi.nlm.nih.gov/""&amp;A247,""/html/body/div[5]/main/div[2]/div/p/text()"")"),"Loading...")</f>
        <v>Loading...</v>
      </c>
      <c r="D241" s="11" t="s">
        <v>8</v>
      </c>
      <c r="E241" s="9"/>
      <c r="F241" s="9" t="s">
        <v>96</v>
      </c>
      <c r="G241" s="9" t="s">
        <v>118</v>
      </c>
    </row>
    <row r="242" spans="1:7" ht="12.5">
      <c r="A242" s="5">
        <v>31419483</v>
      </c>
      <c r="B242" s="6" t="s">
        <v>520</v>
      </c>
      <c r="C242" s="7" t="str">
        <f ca="1">IFERROR(__xludf.DUMMYFUNCTION("IMPORTXML(""https://pubmed.ncbi.nlm.nih.gov/""&amp;A248,""/html/body/div[5]/main/div[2]/div/p/text()"")"),"#REF!")</f>
        <v>#REF!</v>
      </c>
      <c r="D242" s="8" t="s">
        <v>8</v>
      </c>
      <c r="E242" s="5"/>
      <c r="F242" s="5" t="s">
        <v>368</v>
      </c>
      <c r="G242" s="5" t="s">
        <v>41</v>
      </c>
    </row>
    <row r="243" spans="1:7" ht="12.5">
      <c r="A243" s="9">
        <v>31190451</v>
      </c>
      <c r="B243" s="10" t="s">
        <v>521</v>
      </c>
      <c r="C243" s="7" t="str">
        <f ca="1">IFERROR(__xludf.DUMMYFUNCTION("IMPORTXML(""https://pubmed.ncbi.nlm.nih.gov/""&amp;A249,""/html/body/div[5]/main/div[2]/div/p/text()"")"),"#REF!")</f>
        <v>#REF!</v>
      </c>
      <c r="D243" s="11" t="s">
        <v>8</v>
      </c>
      <c r="E243" s="9"/>
      <c r="F243" s="9" t="s">
        <v>522</v>
      </c>
      <c r="G243" s="9" t="s">
        <v>41</v>
      </c>
    </row>
    <row r="244" spans="1:7" ht="12.5">
      <c r="A244" s="5">
        <v>29528996</v>
      </c>
      <c r="B244" s="6" t="s">
        <v>523</v>
      </c>
      <c r="C244" s="7" t="str">
        <f ca="1">IFERROR(__xludf.DUMMYFUNCTION("IMPORTXML(""https://pubmed.ncbi.nlm.nih.gov/""&amp;A250,""/html/body/div[5]/main/div[2]/div/p/text()"")"),"#REF!")</f>
        <v>#REF!</v>
      </c>
      <c r="D244" s="8" t="s">
        <v>8</v>
      </c>
      <c r="E244" s="5"/>
      <c r="F244" s="5" t="s">
        <v>524</v>
      </c>
      <c r="G244" s="5" t="s">
        <v>73</v>
      </c>
    </row>
    <row r="245" spans="1:7" ht="12.5">
      <c r="A245" s="9">
        <v>29845928</v>
      </c>
      <c r="B245" s="10" t="s">
        <v>525</v>
      </c>
      <c r="C245" s="7" t="str">
        <f ca="1">IFERROR(__xludf.DUMMYFUNCTION("IMPORTXML(""https://pubmed.ncbi.nlm.nih.gov/""&amp;A251,""/html/body/div[5]/main/div[2]/div/p/text()"")"),"#REF!")</f>
        <v>#REF!</v>
      </c>
      <c r="D245" s="11" t="s">
        <v>8</v>
      </c>
      <c r="E245" s="9" t="s">
        <v>386</v>
      </c>
      <c r="F245" s="9" t="s">
        <v>526</v>
      </c>
      <c r="G245" s="9" t="s">
        <v>41</v>
      </c>
    </row>
    <row r="246" spans="1:7" ht="12.5">
      <c r="A246" s="5">
        <v>34458921</v>
      </c>
      <c r="B246" s="6" t="s">
        <v>527</v>
      </c>
      <c r="C246" s="7" t="str">
        <f ca="1">IFERROR(__xludf.DUMMYFUNCTION("IMPORTXML(""https://pubmed.ncbi.nlm.nih.gov/""&amp;A252,""/html/body/div[5]/main/div[2]/div/p/text()"")"),"#REF!")</f>
        <v>#REF!</v>
      </c>
      <c r="D246" s="8" t="s">
        <v>8</v>
      </c>
      <c r="E246" s="5"/>
      <c r="F246" s="5" t="s">
        <v>528</v>
      </c>
      <c r="G246" s="5" t="s">
        <v>49</v>
      </c>
    </row>
    <row r="247" spans="1:7" ht="12.5">
      <c r="A247" s="9">
        <v>33229966</v>
      </c>
      <c r="B247" s="10" t="s">
        <v>529</v>
      </c>
      <c r="C247" s="7" t="str">
        <f ca="1">IFERROR(__xludf.DUMMYFUNCTION("IMPORTXML(""https://pubmed.ncbi.nlm.nih.gov/""&amp;A253,""/html/body/div[5]/main/div[2]/div/p/text()"")"),"#REF!")</f>
        <v>#REF!</v>
      </c>
      <c r="D247" s="11" t="s">
        <v>8</v>
      </c>
      <c r="E247" s="9"/>
      <c r="F247" s="9" t="s">
        <v>530</v>
      </c>
      <c r="G247" s="9" t="s">
        <v>52</v>
      </c>
    </row>
    <row r="248" spans="1:7" ht="12.5">
      <c r="A248" s="5">
        <v>27418572</v>
      </c>
      <c r="B248" s="6" t="s">
        <v>531</v>
      </c>
      <c r="C248" s="7" t="str">
        <f ca="1">IFERROR(__xludf.DUMMYFUNCTION("IMPORTXML(""https://pubmed.ncbi.nlm.nih.gov/""&amp;A254,""/html/body/div[5]/main/div[2]/div/p/text()"")"),"#N/A")</f>
        <v>#N/A</v>
      </c>
      <c r="D248" s="8" t="s">
        <v>8</v>
      </c>
      <c r="E248" s="5"/>
      <c r="F248" s="5" t="s">
        <v>532</v>
      </c>
      <c r="G248" s="5" t="s">
        <v>86</v>
      </c>
    </row>
    <row r="249" spans="1:7" ht="12.5">
      <c r="A249" s="9">
        <v>28822976</v>
      </c>
      <c r="B249" s="10" t="s">
        <v>533</v>
      </c>
      <c r="C249" s="7" t="str">
        <f ca="1">IFERROR(__xludf.DUMMYFUNCTION("IMPORTXML(""https://pubmed.ncbi.nlm.nih.gov/""&amp;A255,""/html/body/div[5]/main/div[2]/div/p/text()"")"),"#REF!")</f>
        <v>#REF!</v>
      </c>
      <c r="D249" s="11" t="s">
        <v>8</v>
      </c>
      <c r="E249" s="9"/>
      <c r="F249" s="9" t="s">
        <v>270</v>
      </c>
      <c r="G249" s="9" t="s">
        <v>13</v>
      </c>
    </row>
    <row r="250" spans="1:7" ht="12.5">
      <c r="A250" s="5">
        <v>31196813</v>
      </c>
      <c r="B250" s="6" t="s">
        <v>534</v>
      </c>
      <c r="C250" s="7" t="str">
        <f ca="1">IFERROR(__xludf.DUMMYFUNCTION("IMPORTXML(""https://pubmed.ncbi.nlm.nih.gov/""&amp;A256,""/html/body/div[5]/main/div[2]/div/p/text()"")"),"#REF!")</f>
        <v>#REF!</v>
      </c>
      <c r="D250" s="8" t="s">
        <v>8</v>
      </c>
      <c r="E250" s="5"/>
      <c r="F250" s="5" t="s">
        <v>535</v>
      </c>
      <c r="G250" s="5" t="s">
        <v>52</v>
      </c>
    </row>
    <row r="251" spans="1:7" ht="12.5">
      <c r="A251" s="9">
        <v>33625487</v>
      </c>
      <c r="B251" s="10" t="s">
        <v>536</v>
      </c>
      <c r="C251" s="7" t="str">
        <f ca="1">IFERROR(__xludf.DUMMYFUNCTION("IMPORTXML(""https://pubmed.ncbi.nlm.nih.gov/""&amp;A257,""/html/body/div[5]/main/div[2]/div/p/text()"")"),"#REF!")</f>
        <v>#REF!</v>
      </c>
      <c r="D251" s="11" t="s">
        <v>8</v>
      </c>
      <c r="E251" s="9"/>
      <c r="F251" s="9" t="s">
        <v>537</v>
      </c>
      <c r="G251" s="9" t="s">
        <v>118</v>
      </c>
    </row>
    <row r="252" spans="1:7" ht="12.5">
      <c r="A252" s="5">
        <v>24918549</v>
      </c>
      <c r="B252" s="6" t="s">
        <v>538</v>
      </c>
      <c r="C252" s="7" t="str">
        <f ca="1">IFERROR(__xludf.DUMMYFUNCTION("IMPORTXML(""https://pubmed.ncbi.nlm.nih.gov/""&amp;A258,""/html/body/div[5]/main/div[2]/div/p/text()"")"),"#N/A")</f>
        <v>#N/A</v>
      </c>
      <c r="D252" s="8" t="s">
        <v>8</v>
      </c>
      <c r="E252" s="5"/>
      <c r="F252" s="5" t="s">
        <v>169</v>
      </c>
      <c r="G252" s="5" t="s">
        <v>28</v>
      </c>
    </row>
    <row r="253" spans="1:7" ht="12.5">
      <c r="A253" s="9">
        <v>25239090</v>
      </c>
      <c r="B253" s="10" t="s">
        <v>539</v>
      </c>
      <c r="C253" s="7" t="str">
        <f ca="1">IFERROR(__xludf.DUMMYFUNCTION("IMPORTXML(""https://pubmed.ncbi.nlm.nih.gov/""&amp;A259,""/html/body/div[5]/main/div[2]/div/p/text()"")"),"#REF!")</f>
        <v>#REF!</v>
      </c>
      <c r="D253" s="11" t="s">
        <v>8</v>
      </c>
      <c r="E253" s="9"/>
      <c r="F253" s="9" t="s">
        <v>540</v>
      </c>
      <c r="G253" s="9" t="s">
        <v>86</v>
      </c>
    </row>
    <row r="254" spans="1:7" ht="12.5">
      <c r="A254" s="5">
        <v>32329999</v>
      </c>
      <c r="B254" s="6" t="s">
        <v>541</v>
      </c>
      <c r="C254" s="7" t="str">
        <f ca="1">IFERROR(__xludf.DUMMYFUNCTION("IMPORTXML(""https://pubmed.ncbi.nlm.nih.gov/""&amp;A260,""/html/body/div[5]/main/div[2]/div/p/text()"")"),"#REF!")</f>
        <v>#REF!</v>
      </c>
      <c r="D254" s="8" t="s">
        <v>8</v>
      </c>
      <c r="E254" s="5"/>
      <c r="F254" s="5" t="s">
        <v>542</v>
      </c>
      <c r="G254" s="5" t="s">
        <v>118</v>
      </c>
    </row>
    <row r="255" spans="1:7" ht="12.5">
      <c r="A255" s="9">
        <v>34245280</v>
      </c>
      <c r="B255" s="10" t="s">
        <v>543</v>
      </c>
      <c r="C255" s="7" t="str">
        <f ca="1">IFERROR(__xludf.DUMMYFUNCTION("IMPORTXML(""https://pubmed.ncbi.nlm.nih.gov/""&amp;A261,""/html/body/div[5]/main/div[2]/div/p/text()"")"),"#REF!")</f>
        <v>#REF!</v>
      </c>
      <c r="D255" s="11" t="s">
        <v>8</v>
      </c>
      <c r="E255" s="9"/>
      <c r="F255" s="9" t="s">
        <v>544</v>
      </c>
      <c r="G255" s="9" t="s">
        <v>73</v>
      </c>
    </row>
    <row r="256" spans="1:7" ht="12.5">
      <c r="A256" s="5">
        <v>31856072</v>
      </c>
      <c r="B256" s="6" t="s">
        <v>545</v>
      </c>
      <c r="C256" s="7" t="str">
        <f ca="1">IFERROR(__xludf.DUMMYFUNCTION("IMPORTXML(""https://pubmed.ncbi.nlm.nih.gov/""&amp;A262,""/html/body/div[5]/main/div[2]/div/p/text()"")"),"#REF!")</f>
        <v>#REF!</v>
      </c>
      <c r="D256" s="8" t="s">
        <v>8</v>
      </c>
      <c r="E256" s="5"/>
      <c r="F256" s="5" t="s">
        <v>522</v>
      </c>
      <c r="G256" s="5" t="s">
        <v>118</v>
      </c>
    </row>
    <row r="257" spans="1:7" ht="12.5">
      <c r="A257" s="9">
        <v>29059032</v>
      </c>
      <c r="B257" s="10" t="s">
        <v>546</v>
      </c>
      <c r="C257" s="7" t="str">
        <f ca="1">IFERROR(__xludf.DUMMYFUNCTION("IMPORTXML(""https://pubmed.ncbi.nlm.nih.gov/""&amp;A263,""/html/body/div[5]/main/div[2]/div/p/text()"")"),"#REF!")</f>
        <v>#REF!</v>
      </c>
      <c r="D257" s="11" t="s">
        <v>8</v>
      </c>
      <c r="E257" s="9"/>
      <c r="F257" s="9" t="s">
        <v>70</v>
      </c>
      <c r="G257" s="9" t="s">
        <v>18</v>
      </c>
    </row>
    <row r="258" spans="1:7" ht="12.5">
      <c r="A258" s="5">
        <v>33124553</v>
      </c>
      <c r="B258" s="6" t="s">
        <v>547</v>
      </c>
      <c r="C258" s="7" t="str">
        <f ca="1">IFERROR(__xludf.DUMMYFUNCTION("IMPORTXML(""https://pubmed.ncbi.nlm.nih.gov/""&amp;A264,""/html/body/div[5]/main/div[2]/div/p/text()"")"),"#N/A")</f>
        <v>#N/A</v>
      </c>
      <c r="D258" s="8" t="s">
        <v>8</v>
      </c>
      <c r="E258" s="5"/>
      <c r="F258" s="5" t="s">
        <v>548</v>
      </c>
      <c r="G258" s="5" t="s">
        <v>73</v>
      </c>
    </row>
    <row r="259" spans="1:7" ht="12.5">
      <c r="A259" s="9">
        <v>31476277</v>
      </c>
      <c r="B259" s="10" t="s">
        <v>549</v>
      </c>
      <c r="C259" s="7" t="str">
        <f ca="1">IFERROR(__xludf.DUMMYFUNCTION("IMPORTXML(""https://pubmed.ncbi.nlm.nih.gov/""&amp;A265,""/html/body/div[5]/main/div[2]/div/p/text()"")"),"#REF!")</f>
        <v>#REF!</v>
      </c>
      <c r="D259" s="11" t="s">
        <v>8</v>
      </c>
      <c r="E259" s="9"/>
      <c r="F259" s="9" t="s">
        <v>117</v>
      </c>
      <c r="G259" s="9" t="s">
        <v>18</v>
      </c>
    </row>
    <row r="260" spans="1:7" ht="12.5">
      <c r="A260" s="5">
        <v>32089090</v>
      </c>
      <c r="B260" s="6" t="s">
        <v>550</v>
      </c>
      <c r="C260" s="7" t="str">
        <f ca="1">IFERROR(__xludf.DUMMYFUNCTION("IMPORTXML(""https://pubmed.ncbi.nlm.nih.gov/""&amp;A266,""/html/body/div[5]/main/div[2]/div/p/text()"")"),"#REF!")</f>
        <v>#REF!</v>
      </c>
      <c r="D260" s="8" t="s">
        <v>8</v>
      </c>
      <c r="E260" s="5"/>
      <c r="F260" s="5" t="s">
        <v>551</v>
      </c>
      <c r="G260" s="5" t="s">
        <v>41</v>
      </c>
    </row>
    <row r="261" spans="1:7" ht="12.5">
      <c r="A261" s="9">
        <v>34572612</v>
      </c>
      <c r="B261" s="10" t="s">
        <v>552</v>
      </c>
      <c r="C261" s="7" t="str">
        <f ca="1">IFERROR(__xludf.DUMMYFUNCTION("IMPORTXML(""https://pubmed.ncbi.nlm.nih.gov/""&amp;A267,""/html/body/div[5]/main/div[2]/div/p/text()"")"),"#REF!")</f>
        <v>#REF!</v>
      </c>
      <c r="D261" s="11" t="s">
        <v>8</v>
      </c>
      <c r="E261" s="9"/>
      <c r="F261" s="9" t="s">
        <v>553</v>
      </c>
      <c r="G261" s="9" t="s">
        <v>41</v>
      </c>
    </row>
    <row r="262" spans="1:7" ht="12.5">
      <c r="A262" s="5">
        <v>32436729</v>
      </c>
      <c r="B262" s="6" t="s">
        <v>554</v>
      </c>
      <c r="C262" s="7" t="str">
        <f ca="1">IFERROR(__xludf.DUMMYFUNCTION("IMPORTXML(""https://pubmed.ncbi.nlm.nih.gov/""&amp;A268,""/html/body/div[5]/main/div[2]/div/p/text()"")"),"#REF!")</f>
        <v>#REF!</v>
      </c>
      <c r="D262" s="8" t="s">
        <v>8</v>
      </c>
      <c r="E262" s="5"/>
      <c r="F262" s="5" t="s">
        <v>548</v>
      </c>
      <c r="G262" s="5" t="s">
        <v>118</v>
      </c>
    </row>
    <row r="263" spans="1:7" ht="12.5">
      <c r="A263" s="9">
        <v>24327758</v>
      </c>
      <c r="B263" s="10" t="s">
        <v>555</v>
      </c>
      <c r="C263" s="7" t="str">
        <f ca="1">IFERROR(__xludf.DUMMYFUNCTION("IMPORTXML(""https://pubmed.ncbi.nlm.nih.gov/""&amp;A269,""/html/body/div[5]/main/div[2]/div/p/text()"")"),"#REF!")</f>
        <v>#REF!</v>
      </c>
      <c r="D263" s="11" t="s">
        <v>8</v>
      </c>
      <c r="E263" s="9"/>
      <c r="F263" s="9" t="s">
        <v>114</v>
      </c>
      <c r="G263" s="9" t="s">
        <v>13</v>
      </c>
    </row>
    <row r="264" spans="1:7" ht="12.5">
      <c r="A264" s="5">
        <v>30318465</v>
      </c>
      <c r="B264" s="6" t="s">
        <v>556</v>
      </c>
      <c r="C264" s="7" t="str">
        <f ca="1">IFERROR(__xludf.DUMMYFUNCTION("IMPORTXML(""https://pubmed.ncbi.nlm.nih.gov/""&amp;A270,""/html/body/div[5]/main/div[2]/div/p/text()"")"),"Loading...")</f>
        <v>Loading...</v>
      </c>
      <c r="D264" s="8" t="s">
        <v>8</v>
      </c>
      <c r="E264" s="5"/>
      <c r="F264" s="5" t="s">
        <v>493</v>
      </c>
      <c r="G264" s="5" t="s">
        <v>41</v>
      </c>
    </row>
    <row r="265" spans="1:7" ht="12.5">
      <c r="A265" s="9">
        <v>34174039</v>
      </c>
      <c r="B265" s="10" t="s">
        <v>557</v>
      </c>
      <c r="C265" s="7" t="str">
        <f ca="1">IFERROR(__xludf.DUMMYFUNCTION("IMPORTXML(""https://pubmed.ncbi.nlm.nih.gov/""&amp;A271,""/html/body/div[5]/main/div[2]/div/p/text()"")"),"Loading...")</f>
        <v>Loading...</v>
      </c>
      <c r="D265" s="11" t="s">
        <v>8</v>
      </c>
      <c r="E265" s="9"/>
      <c r="F265" s="9" t="s">
        <v>558</v>
      </c>
      <c r="G265" s="9" t="s">
        <v>31</v>
      </c>
    </row>
    <row r="266" spans="1:7" ht="12.5">
      <c r="A266" s="5">
        <v>34234969</v>
      </c>
      <c r="B266" s="6" t="s">
        <v>559</v>
      </c>
      <c r="C266" s="7" t="str">
        <f ca="1">IFERROR(__xludf.DUMMYFUNCTION("IMPORTXML(""https://pubmed.ncbi.nlm.nih.gov/""&amp;A272,""/html/body/div[5]/main/div[2]/div/p/text()"")"),"Loading...")</f>
        <v>Loading...</v>
      </c>
      <c r="D266" s="8" t="s">
        <v>8</v>
      </c>
      <c r="E266" s="5"/>
      <c r="F266" s="5" t="s">
        <v>560</v>
      </c>
      <c r="G266" s="5" t="s">
        <v>118</v>
      </c>
    </row>
    <row r="267" spans="1:7" ht="12.5">
      <c r="A267" s="9">
        <v>27350659</v>
      </c>
      <c r="B267" s="10" t="s">
        <v>561</v>
      </c>
      <c r="C267" s="7" t="str">
        <f ca="1">IFERROR(__xludf.DUMMYFUNCTION("IMPORTXML(""https://pubmed.ncbi.nlm.nih.gov/""&amp;A273,""/html/body/div[5]/main/div[2]/div/p/text()"")"),"#REF!")</f>
        <v>#REF!</v>
      </c>
      <c r="D267" s="11" t="s">
        <v>8</v>
      </c>
      <c r="E267" s="9"/>
      <c r="F267" s="9" t="s">
        <v>43</v>
      </c>
      <c r="G267" s="9" t="s">
        <v>118</v>
      </c>
    </row>
    <row r="268" spans="1:7" ht="12.5">
      <c r="A268" s="5">
        <v>27881151</v>
      </c>
      <c r="B268" s="6" t="s">
        <v>562</v>
      </c>
      <c r="C268" s="7" t="str">
        <f ca="1">IFERROR(__xludf.DUMMYFUNCTION("IMPORTXML(""https://pubmed.ncbi.nlm.nih.gov/""&amp;A274,""/html/body/div[5]/main/div[2]/div/p/text()"")"),"#REF!")</f>
        <v>#REF!</v>
      </c>
      <c r="D268" s="8" t="s">
        <v>8</v>
      </c>
      <c r="E268" s="5"/>
      <c r="F268" s="5" t="s">
        <v>563</v>
      </c>
      <c r="G268" s="5" t="s">
        <v>52</v>
      </c>
    </row>
    <row r="269" spans="1:7" ht="12.5">
      <c r="A269" s="9">
        <v>33608480</v>
      </c>
      <c r="B269" s="10" t="s">
        <v>564</v>
      </c>
      <c r="C269" s="7" t="str">
        <f ca="1">IFERROR(__xludf.DUMMYFUNCTION("IMPORTXML(""https://pubmed.ncbi.nlm.nih.gov/""&amp;A275,""/html/body/div[5]/main/div[2]/div/p/text()"")"),"Loading...")</f>
        <v>Loading...</v>
      </c>
      <c r="D269" s="11" t="s">
        <v>8</v>
      </c>
      <c r="E269" s="9"/>
      <c r="F269" s="9" t="s">
        <v>261</v>
      </c>
      <c r="G269" s="9" t="s">
        <v>13</v>
      </c>
    </row>
    <row r="270" spans="1:7" ht="12.5">
      <c r="A270" s="5">
        <v>29288183</v>
      </c>
      <c r="B270" s="6" t="s">
        <v>565</v>
      </c>
      <c r="C270" s="7" t="str">
        <f ca="1">IFERROR(__xludf.DUMMYFUNCTION("IMPORTXML(""https://pubmed.ncbi.nlm.nih.gov/""&amp;A276,""/html/body/div[5]/main/div[2]/div/p/text()"")"),"#REF!")</f>
        <v>#REF!</v>
      </c>
      <c r="D270" s="8" t="s">
        <v>8</v>
      </c>
      <c r="E270" s="5"/>
      <c r="F270" s="5" t="s">
        <v>566</v>
      </c>
      <c r="G270" s="5" t="s">
        <v>18</v>
      </c>
    </row>
    <row r="271" spans="1:7" ht="12.5">
      <c r="A271" s="9">
        <v>26222746</v>
      </c>
      <c r="B271" s="10" t="s">
        <v>567</v>
      </c>
      <c r="C271" s="7" t="str">
        <f ca="1">IFERROR(__xludf.DUMMYFUNCTION("IMPORTXML(""https://pubmed.ncbi.nlm.nih.gov/""&amp;A277,""/html/body/div[5]/main/div[2]/div/p/text()"")"),"#REF!")</f>
        <v>#REF!</v>
      </c>
      <c r="D271" s="11" t="s">
        <v>8</v>
      </c>
      <c r="E271" s="9"/>
      <c r="F271" s="9" t="s">
        <v>568</v>
      </c>
      <c r="G271" s="9" t="s">
        <v>10</v>
      </c>
    </row>
    <row r="272" spans="1:7" ht="12.5">
      <c r="A272" s="5">
        <v>30742592</v>
      </c>
      <c r="B272" s="6" t="s">
        <v>569</v>
      </c>
      <c r="C272" s="7" t="str">
        <f ca="1">IFERROR(__xludf.DUMMYFUNCTION("IMPORTXML(""https://pubmed.ncbi.nlm.nih.gov/""&amp;A278,""/html/body/div[5]/main/div[2]/div/p/text()"")"),"Loading...")</f>
        <v>Loading...</v>
      </c>
      <c r="D272" s="8" t="s">
        <v>8</v>
      </c>
      <c r="E272" s="5"/>
      <c r="F272" s="5" t="s">
        <v>122</v>
      </c>
      <c r="G272" s="5" t="s">
        <v>118</v>
      </c>
    </row>
    <row r="273" spans="1:7" ht="12.5">
      <c r="A273" s="9">
        <v>24106338</v>
      </c>
      <c r="B273" s="10" t="s">
        <v>570</v>
      </c>
      <c r="C273" s="7" t="str">
        <f ca="1">IFERROR(__xludf.DUMMYFUNCTION("IMPORTXML(""https://pubmed.ncbi.nlm.nih.gov/""&amp;A279,""/html/body/div[5]/main/div[2]/div/p/text()"")"),"#REF!")</f>
        <v>#REF!</v>
      </c>
      <c r="D273" s="11" t="s">
        <v>8</v>
      </c>
      <c r="E273" s="9"/>
      <c r="F273" s="9" t="s">
        <v>571</v>
      </c>
      <c r="G273" s="9" t="s">
        <v>13</v>
      </c>
    </row>
    <row r="274" spans="1:7" ht="12.5">
      <c r="A274" s="5">
        <v>27631046</v>
      </c>
      <c r="B274" s="6" t="s">
        <v>572</v>
      </c>
      <c r="C274" s="7" t="str">
        <f ca="1">IFERROR(__xludf.DUMMYFUNCTION("IMPORTXML(""https://pubmed.ncbi.nlm.nih.gov/""&amp;A280,""/html/body/div[5]/main/div[2]/div/p/text()"")"),"#REF!")</f>
        <v>#REF!</v>
      </c>
      <c r="D274" s="8" t="s">
        <v>8</v>
      </c>
      <c r="E274" s="5"/>
      <c r="F274" s="5">
        <v>2016</v>
      </c>
      <c r="G274" s="5" t="s">
        <v>118</v>
      </c>
    </row>
    <row r="275" spans="1:7" ht="12.5">
      <c r="A275" s="9">
        <v>33497601</v>
      </c>
      <c r="B275" s="10" t="s">
        <v>573</v>
      </c>
      <c r="C275" s="7" t="str">
        <f ca="1">IFERROR(__xludf.DUMMYFUNCTION("IMPORTXML(""https://pubmed.ncbi.nlm.nih.gov/""&amp;A281,""/html/body/div[5]/main/div[2]/div/p/text()"")"),"Loading...")</f>
        <v>Loading...</v>
      </c>
      <c r="D275" s="11" t="s">
        <v>8</v>
      </c>
      <c r="E275" s="9"/>
      <c r="F275" s="9" t="s">
        <v>243</v>
      </c>
      <c r="G275" s="9" t="s">
        <v>31</v>
      </c>
    </row>
    <row r="276" spans="1:7" ht="12.5">
      <c r="A276" s="5">
        <v>30838398</v>
      </c>
      <c r="B276" s="6" t="s">
        <v>574</v>
      </c>
      <c r="C276" s="7" t="str">
        <f ca="1">IFERROR(__xludf.DUMMYFUNCTION("IMPORTXML(""https://pubmed.ncbi.nlm.nih.gov/""&amp;A282,""/html/body/div[5]/main/div[2]/div/p/text()"")"),"Loading...")</f>
        <v>Loading...</v>
      </c>
      <c r="D276" s="8" t="s">
        <v>8</v>
      </c>
      <c r="E276" s="5"/>
      <c r="F276" s="5" t="s">
        <v>575</v>
      </c>
      <c r="G276" s="5" t="s">
        <v>13</v>
      </c>
    </row>
    <row r="277" spans="1:7" ht="12.5">
      <c r="A277" s="9">
        <v>34223105</v>
      </c>
      <c r="B277" s="10" t="s">
        <v>576</v>
      </c>
      <c r="C277" s="7" t="str">
        <f ca="1">IFERROR(__xludf.DUMMYFUNCTION("IMPORTXML(""https://pubmed.ncbi.nlm.nih.gov/""&amp;A283,""/html/body/div[5]/main/div[2]/div/p/text()"")"),"#N/A")</f>
        <v>#N/A</v>
      </c>
      <c r="D277" s="11" t="s">
        <v>8</v>
      </c>
      <c r="E277" s="9"/>
      <c r="F277" s="9" t="s">
        <v>577</v>
      </c>
      <c r="G277" s="9" t="s">
        <v>49</v>
      </c>
    </row>
    <row r="278" spans="1:7" ht="12.5">
      <c r="A278" s="5">
        <v>29097418</v>
      </c>
      <c r="B278" s="6" t="s">
        <v>578</v>
      </c>
      <c r="C278" s="7" t="str">
        <f ca="1">IFERROR(__xludf.DUMMYFUNCTION("IMPORTXML(""https://pubmed.ncbi.nlm.nih.gov/""&amp;A284,""/html/body/div[5]/main/div[2]/div/p/text()"")"),"#REF!")</f>
        <v>#REF!</v>
      </c>
      <c r="D278" s="8" t="s">
        <v>8</v>
      </c>
      <c r="E278" s="5"/>
      <c r="F278" s="5" t="s">
        <v>526</v>
      </c>
      <c r="G278" s="5" t="s">
        <v>52</v>
      </c>
    </row>
    <row r="279" spans="1:7" ht="12.5">
      <c r="A279" s="9">
        <v>22917693</v>
      </c>
      <c r="B279" s="10" t="s">
        <v>579</v>
      </c>
      <c r="C279" s="7" t="str">
        <f ca="1">IFERROR(__xludf.DUMMYFUNCTION("IMPORTXML(""https://pubmed.ncbi.nlm.nih.gov/""&amp;A285,""/html/body/div[5]/main/div[2]/div/p/text()"")"),"#REF!")</f>
        <v>#REF!</v>
      </c>
      <c r="D279" s="11" t="s">
        <v>8</v>
      </c>
      <c r="E279" s="9"/>
      <c r="F279" s="9" t="s">
        <v>21</v>
      </c>
      <c r="G279" s="9" t="s">
        <v>31</v>
      </c>
    </row>
    <row r="280" spans="1:7" ht="12.5">
      <c r="A280" s="5">
        <v>34909106</v>
      </c>
      <c r="B280" s="6" t="s">
        <v>580</v>
      </c>
      <c r="C280" s="7" t="str">
        <f ca="1">IFERROR(__xludf.DUMMYFUNCTION("IMPORTXML(""https://pubmed.ncbi.nlm.nih.gov/""&amp;A286,""/html/body/div[5]/main/div[2]/div/p/text()"")"),"#REF!")</f>
        <v>#REF!</v>
      </c>
      <c r="D280" s="8" t="s">
        <v>8</v>
      </c>
      <c r="E280" s="5"/>
      <c r="F280" s="5" t="s">
        <v>581</v>
      </c>
      <c r="G280" s="5" t="s">
        <v>41</v>
      </c>
    </row>
    <row r="281" spans="1:7" ht="12.5">
      <c r="A281" s="9">
        <v>35154028</v>
      </c>
      <c r="B281" s="10" t="s">
        <v>582</v>
      </c>
      <c r="C281" s="7" t="str">
        <f ca="1">IFERROR(__xludf.DUMMYFUNCTION("IMPORTXML(""https://pubmed.ncbi.nlm.nih.gov/""&amp;A287,""/html/body/div[5]/main/div[2]/div/p/text()"")"),"#REF!")</f>
        <v>#REF!</v>
      </c>
      <c r="D281" s="11" t="s">
        <v>8</v>
      </c>
      <c r="E281" s="9"/>
      <c r="F281" s="9" t="s">
        <v>583</v>
      </c>
      <c r="G281" s="9" t="s">
        <v>13</v>
      </c>
    </row>
    <row r="282" spans="1:7" ht="12.5">
      <c r="A282" s="5">
        <v>23472801</v>
      </c>
      <c r="B282" s="6" t="s">
        <v>584</v>
      </c>
      <c r="C282" s="7" t="str">
        <f ca="1">IFERROR(__xludf.DUMMYFUNCTION("IMPORTXML(""https://pubmed.ncbi.nlm.nih.gov/""&amp;A288,""/html/body/div[5]/main/div[2]/div/p/text()"")"),"#N/A")</f>
        <v>#N/A</v>
      </c>
      <c r="D282" s="8" t="s">
        <v>8</v>
      </c>
      <c r="E282" s="5"/>
      <c r="F282" s="5" t="s">
        <v>58</v>
      </c>
      <c r="G282" s="5" t="s">
        <v>52</v>
      </c>
    </row>
    <row r="283" spans="1:7" ht="12.5">
      <c r="A283" s="9">
        <v>26908758</v>
      </c>
      <c r="B283" s="10" t="s">
        <v>585</v>
      </c>
      <c r="C283" s="7" t="str">
        <f ca="1">IFERROR(__xludf.DUMMYFUNCTION("IMPORTXML(""https://pubmed.ncbi.nlm.nih.gov/""&amp;A289,""/html/body/div[5]/main/div[2]/div/p/text()"")"),"#REF!")</f>
        <v>#REF!</v>
      </c>
      <c r="D283" s="11" t="s">
        <v>8</v>
      </c>
      <c r="E283" s="9"/>
      <c r="F283" s="9" t="s">
        <v>586</v>
      </c>
      <c r="G283" s="9" t="s">
        <v>73</v>
      </c>
    </row>
    <row r="284" spans="1:7" ht="12.5">
      <c r="A284" s="5">
        <v>24749920</v>
      </c>
      <c r="B284" s="6" t="s">
        <v>587</v>
      </c>
      <c r="C284" s="7" t="str">
        <f ca="1">IFERROR(__xludf.DUMMYFUNCTION("IMPORTXML(""https://pubmed.ncbi.nlm.nih.gov/""&amp;A290,""/html/body/div[5]/main/div[2]/div/p/text()"")"),"#REF!")</f>
        <v>#REF!</v>
      </c>
      <c r="D284" s="8" t="s">
        <v>8</v>
      </c>
      <c r="E284" s="5"/>
      <c r="F284" s="5" t="s">
        <v>319</v>
      </c>
      <c r="G284" s="5" t="s">
        <v>118</v>
      </c>
    </row>
    <row r="285" spans="1:7" ht="12.5">
      <c r="A285" s="9">
        <v>35496288</v>
      </c>
      <c r="B285" s="10" t="s">
        <v>588</v>
      </c>
      <c r="C285" s="7" t="str">
        <f ca="1">IFERROR(__xludf.DUMMYFUNCTION("IMPORTXML(""https://pubmed.ncbi.nlm.nih.gov/""&amp;A291,""/html/body/div[5]/main/div[2]/div/p/text()"")"),"#REF!")</f>
        <v>#REF!</v>
      </c>
      <c r="D285" s="11" t="s">
        <v>8</v>
      </c>
      <c r="E285" s="9"/>
      <c r="F285" s="9" t="s">
        <v>589</v>
      </c>
      <c r="G285" s="9" t="s">
        <v>73</v>
      </c>
    </row>
    <row r="286" spans="1:7" ht="12.5">
      <c r="A286" s="5">
        <v>34557895</v>
      </c>
      <c r="B286" s="6" t="s">
        <v>590</v>
      </c>
      <c r="C286" s="7" t="str">
        <f ca="1">IFERROR(__xludf.DUMMYFUNCTION("IMPORTXML(""https://pubmed.ncbi.nlm.nih.gov/""&amp;A292,""/html/body/div[5]/main/div[2]/div/p/text()"")"),"#REF!")</f>
        <v>#REF!</v>
      </c>
      <c r="D286" s="8" t="s">
        <v>8</v>
      </c>
      <c r="E286" s="5"/>
      <c r="F286" s="5" t="s">
        <v>591</v>
      </c>
      <c r="G286" s="5" t="s">
        <v>41</v>
      </c>
    </row>
    <row r="287" spans="1:7" ht="12.5">
      <c r="A287" s="9">
        <v>34023871</v>
      </c>
      <c r="B287" s="10" t="s">
        <v>592</v>
      </c>
      <c r="C287" s="7" t="str">
        <f ca="1">IFERROR(__xludf.DUMMYFUNCTION("IMPORTXML(""https://pubmed.ncbi.nlm.nih.gov/""&amp;A293,""/html/body/div[5]/main/div[2]/div/p/text()"")"),"#REF!")</f>
        <v>#REF!</v>
      </c>
      <c r="D287" s="11" t="s">
        <v>8</v>
      </c>
      <c r="E287" s="9"/>
      <c r="F287" s="9" t="s">
        <v>593</v>
      </c>
      <c r="G287" s="9" t="s">
        <v>10</v>
      </c>
    </row>
    <row r="288" spans="1:7" ht="12.5">
      <c r="A288" s="5">
        <v>32403988</v>
      </c>
      <c r="B288" s="6" t="s">
        <v>594</v>
      </c>
      <c r="C288" s="7" t="str">
        <f ca="1">IFERROR(__xludf.DUMMYFUNCTION("IMPORTXML(""https://pubmed.ncbi.nlm.nih.gov/""&amp;A294,""/html/body/div[5]/main/div[2]/div/p/text()"")"),"#REF!")</f>
        <v>#REF!</v>
      </c>
      <c r="D288" s="8" t="s">
        <v>8</v>
      </c>
      <c r="E288" s="5"/>
      <c r="F288" s="5" t="s">
        <v>337</v>
      </c>
      <c r="G288" s="5" t="s">
        <v>86</v>
      </c>
    </row>
    <row r="289" spans="1:7" ht="12.5">
      <c r="A289" s="9">
        <v>22421690</v>
      </c>
      <c r="B289" s="10" t="s">
        <v>595</v>
      </c>
      <c r="C289" s="7" t="str">
        <f ca="1">IFERROR(__xludf.DUMMYFUNCTION("IMPORTXML(""https://pubmed.ncbi.nlm.nih.gov/""&amp;A295,""/html/body/div[5]/main/div[2]/div/p/text()"")"),"#REF!")</f>
        <v>#REF!</v>
      </c>
      <c r="D289" s="11" t="s">
        <v>8</v>
      </c>
      <c r="E289" s="9"/>
      <c r="F289" s="9" t="s">
        <v>596</v>
      </c>
      <c r="G289" s="9" t="s">
        <v>18</v>
      </c>
    </row>
    <row r="290" spans="1:7" ht="12.5">
      <c r="A290" s="5">
        <v>29689080</v>
      </c>
      <c r="B290" s="6" t="s">
        <v>597</v>
      </c>
      <c r="C290" s="7" t="str">
        <f ca="1">IFERROR(__xludf.DUMMYFUNCTION("IMPORTXML(""https://pubmed.ncbi.nlm.nih.gov/""&amp;A296,""/html/body/div[5]/main/div[2]/div/p/text()"")"),"#REF!")</f>
        <v>#REF!</v>
      </c>
      <c r="D290" s="8" t="s">
        <v>8</v>
      </c>
      <c r="E290" s="5"/>
      <c r="F290" s="5" t="s">
        <v>598</v>
      </c>
      <c r="G290" s="5" t="s">
        <v>41</v>
      </c>
    </row>
    <row r="291" spans="1:7" ht="12.5">
      <c r="A291" s="9">
        <v>27146362</v>
      </c>
      <c r="B291" s="10" t="s">
        <v>599</v>
      </c>
      <c r="C291" s="7" t="str">
        <f ca="1">IFERROR(__xludf.DUMMYFUNCTION("IMPORTXML(""https://pubmed.ncbi.nlm.nih.gov/""&amp;A297,""/html/body/div[5]/main/div[2]/div/p/text()"")"),"#REF!")</f>
        <v>#REF!</v>
      </c>
      <c r="D291" s="11" t="s">
        <v>8</v>
      </c>
      <c r="E291" s="9"/>
      <c r="F291" s="9" t="s">
        <v>600</v>
      </c>
      <c r="G291" s="9" t="s">
        <v>10</v>
      </c>
    </row>
    <row r="292" spans="1:7" ht="12.5">
      <c r="A292" s="5">
        <v>23417685</v>
      </c>
      <c r="B292" s="6" t="s">
        <v>579</v>
      </c>
      <c r="C292" s="7" t="str">
        <f ca="1">IFERROR(__xludf.DUMMYFUNCTION("IMPORTXML(""https://pubmed.ncbi.nlm.nih.gov/""&amp;A298,""/html/body/div[5]/main/div[2]/div/p/text()"")"),"#REF!")</f>
        <v>#REF!</v>
      </c>
      <c r="D292" s="8" t="s">
        <v>8</v>
      </c>
      <c r="E292" s="5"/>
      <c r="F292" s="5" t="s">
        <v>601</v>
      </c>
      <c r="G292" s="5" t="s">
        <v>41</v>
      </c>
    </row>
    <row r="293" spans="1:7" ht="12.5">
      <c r="A293" s="9">
        <v>33562607</v>
      </c>
      <c r="B293" s="10" t="s">
        <v>602</v>
      </c>
      <c r="C293" s="7" t="str">
        <f ca="1">IFERROR(__xludf.DUMMYFUNCTION("IMPORTXML(""https://pubmed.ncbi.nlm.nih.gov/""&amp;A299,""/html/body/div[5]/main/div[2]/div/p/text()"")"),"#REF!")</f>
        <v>#REF!</v>
      </c>
      <c r="D293" s="11" t="s">
        <v>8</v>
      </c>
      <c r="E293" s="9"/>
      <c r="F293" s="9" t="s">
        <v>603</v>
      </c>
      <c r="G293" s="9" t="s">
        <v>13</v>
      </c>
    </row>
    <row r="294" spans="1:7" ht="12.5">
      <c r="A294" s="5">
        <v>26810921</v>
      </c>
      <c r="B294" s="6" t="s">
        <v>604</v>
      </c>
      <c r="C294" s="7" t="str">
        <f ca="1">IFERROR(__xludf.DUMMYFUNCTION("IMPORTXML(""https://pubmed.ncbi.nlm.nih.gov/""&amp;A300,""/html/body/div[5]/main/div[2]/div/p/text()"")"),"#REF!")</f>
        <v>#REF!</v>
      </c>
      <c r="D294" s="8" t="s">
        <v>8</v>
      </c>
      <c r="E294" s="5"/>
      <c r="F294" s="5" t="s">
        <v>48</v>
      </c>
      <c r="G294" s="5" t="s">
        <v>605</v>
      </c>
    </row>
    <row r="295" spans="1:7" ht="12.5">
      <c r="A295" s="9">
        <v>31865863</v>
      </c>
      <c r="B295" s="10" t="s">
        <v>606</v>
      </c>
      <c r="C295" s="7" t="str">
        <f ca="1">IFERROR(__xludf.DUMMYFUNCTION("IMPORTXML(""https://pubmed.ncbi.nlm.nih.gov/""&amp;A301,""/html/body/div[5]/main/div[2]/div/p/text()"")"),"#N/A")</f>
        <v>#N/A</v>
      </c>
      <c r="D295" s="11" t="s">
        <v>8</v>
      </c>
      <c r="E295" s="9"/>
      <c r="F295" s="9" t="s">
        <v>368</v>
      </c>
      <c r="G295" s="9" t="s">
        <v>13</v>
      </c>
    </row>
    <row r="296" spans="1:7" ht="12.5">
      <c r="A296" s="5">
        <v>25504294</v>
      </c>
      <c r="B296" s="6" t="s">
        <v>607</v>
      </c>
      <c r="C296" s="7" t="str">
        <f ca="1">IFERROR(__xludf.DUMMYFUNCTION("IMPORTXML(""https://pubmed.ncbi.nlm.nih.gov/""&amp;A302,""/html/body/div[5]/main/div[2]/div/p/text()"")"),"#REF!")</f>
        <v>#REF!</v>
      </c>
      <c r="D296" s="8" t="s">
        <v>8</v>
      </c>
      <c r="E296" s="5"/>
      <c r="F296" s="5" t="s">
        <v>444</v>
      </c>
      <c r="G296" s="5" t="s">
        <v>28</v>
      </c>
    </row>
    <row r="297" spans="1:7" ht="12.5">
      <c r="A297" s="9">
        <v>32017908</v>
      </c>
      <c r="B297" s="10" t="s">
        <v>608</v>
      </c>
      <c r="C297" s="7" t="str">
        <f ca="1">IFERROR(__xludf.DUMMYFUNCTION("IMPORTXML(""https://pubmed.ncbi.nlm.nih.gov/""&amp;A303,""/html/body/div[5]/main/div[2]/div/p/text()"")"),"#N/A")</f>
        <v>#N/A</v>
      </c>
      <c r="D297" s="11" t="s">
        <v>8</v>
      </c>
      <c r="E297" s="9"/>
      <c r="F297" s="9" t="s">
        <v>609</v>
      </c>
      <c r="G297" s="9" t="s">
        <v>41</v>
      </c>
    </row>
    <row r="298" spans="1:7" ht="12.5">
      <c r="A298" s="5">
        <v>25211259</v>
      </c>
      <c r="B298" s="6" t="s">
        <v>610</v>
      </c>
      <c r="C298" s="7" t="str">
        <f ca="1">IFERROR(__xludf.DUMMYFUNCTION("IMPORTXML(""https://pubmed.ncbi.nlm.nih.gov/""&amp;A304,""/html/body/div[5]/main/div[2]/div/p/text()"")"),"#REF!")</f>
        <v>#REF!</v>
      </c>
      <c r="D298" s="8" t="s">
        <v>8</v>
      </c>
      <c r="E298" s="5"/>
      <c r="F298" s="5" t="s">
        <v>611</v>
      </c>
      <c r="G298" s="5" t="s">
        <v>28</v>
      </c>
    </row>
    <row r="299" spans="1:7" ht="12.5">
      <c r="A299" s="9">
        <v>23965767</v>
      </c>
      <c r="B299" s="10" t="s">
        <v>612</v>
      </c>
      <c r="C299" s="7" t="str">
        <f ca="1">IFERROR(__xludf.DUMMYFUNCTION("IMPORTXML(""https://pubmed.ncbi.nlm.nih.gov/""&amp;A305,""/html/body/div[5]/main/div[2]/div/p/text()"")"),"#REF!")</f>
        <v>#REF!</v>
      </c>
      <c r="D299" s="11" t="s">
        <v>8</v>
      </c>
      <c r="E299" s="9"/>
      <c r="F299" s="9" t="s">
        <v>130</v>
      </c>
      <c r="G299" s="9" t="s">
        <v>41</v>
      </c>
    </row>
    <row r="300" spans="1:7" ht="12.5">
      <c r="A300" s="5">
        <v>35065063</v>
      </c>
      <c r="B300" s="6" t="s">
        <v>613</v>
      </c>
      <c r="C300" s="7" t="str">
        <f ca="1">IFERROR(__xludf.DUMMYFUNCTION("IMPORTXML(""https://pubmed.ncbi.nlm.nih.gov/""&amp;A306,""/html/body/div[5]/main/div[2]/div/p/text()"")"),"#REF!")</f>
        <v>#REF!</v>
      </c>
      <c r="D300" s="8" t="s">
        <v>8</v>
      </c>
      <c r="E300" s="5"/>
      <c r="F300" s="5" t="s">
        <v>614</v>
      </c>
      <c r="G300" s="5" t="s">
        <v>31</v>
      </c>
    </row>
    <row r="301" spans="1:7" ht="12.5">
      <c r="A301" s="9">
        <v>27724878</v>
      </c>
      <c r="B301" s="10" t="s">
        <v>615</v>
      </c>
      <c r="C301" s="7" t="str">
        <f ca="1">IFERROR(__xludf.DUMMYFUNCTION("IMPORTXML(""https://pubmed.ncbi.nlm.nih.gov/""&amp;A307,""/html/body/div[5]/main/div[2]/div/p/text()"")"),"#REF!")</f>
        <v>#REF!</v>
      </c>
      <c r="D301" s="11" t="s">
        <v>8</v>
      </c>
      <c r="E301" s="9"/>
      <c r="F301" s="9" t="s">
        <v>616</v>
      </c>
      <c r="G301" s="9" t="s">
        <v>49</v>
      </c>
    </row>
    <row r="302" spans="1:7" ht="12.5">
      <c r="A302" s="5">
        <v>33878134</v>
      </c>
      <c r="B302" s="6" t="s">
        <v>617</v>
      </c>
      <c r="C302" s="7" t="str">
        <f ca="1">IFERROR(__xludf.DUMMYFUNCTION("IMPORTXML(""https://pubmed.ncbi.nlm.nih.gov/""&amp;A308,""/html/body/div[5]/main/div[2]/div/p/text()"")"),"#REF!")</f>
        <v>#REF!</v>
      </c>
      <c r="D302" s="8" t="s">
        <v>8</v>
      </c>
      <c r="E302" s="5"/>
      <c r="F302" s="5" t="s">
        <v>618</v>
      </c>
      <c r="G302" s="5" t="s">
        <v>118</v>
      </c>
    </row>
    <row r="303" spans="1:7" ht="12.5">
      <c r="A303" s="9">
        <v>32960744</v>
      </c>
      <c r="B303" s="10" t="s">
        <v>619</v>
      </c>
      <c r="C303" s="7" t="str">
        <f ca="1">IFERROR(__xludf.DUMMYFUNCTION("IMPORTXML(""https://pubmed.ncbi.nlm.nih.gov/""&amp;A309,""/html/body/div[5]/main/div[2]/div/p/text()"")"),"#REF!")</f>
        <v>#REF!</v>
      </c>
      <c r="D303" s="11" t="s">
        <v>8</v>
      </c>
      <c r="E303" s="9"/>
      <c r="F303" s="9" t="s">
        <v>243</v>
      </c>
      <c r="G303" s="9" t="s">
        <v>73</v>
      </c>
    </row>
    <row r="304" spans="1:7" ht="12.5">
      <c r="A304" s="5">
        <v>22169584</v>
      </c>
      <c r="B304" s="6" t="s">
        <v>620</v>
      </c>
      <c r="C304" s="7" t="str">
        <f ca="1">IFERROR(__xludf.DUMMYFUNCTION("IMPORTXML(""https://pubmed.ncbi.nlm.nih.gov/""&amp;A310,""/html/body/div[5]/main/div[2]/div/p/text()"")"),"#REF!")</f>
        <v>#REF!</v>
      </c>
      <c r="D304" s="8" t="s">
        <v>8</v>
      </c>
      <c r="E304" s="5"/>
      <c r="F304" s="5" t="s">
        <v>128</v>
      </c>
      <c r="G304" s="5" t="s">
        <v>31</v>
      </c>
    </row>
    <row r="305" spans="1:7" ht="12.5">
      <c r="A305" s="9">
        <v>31688719</v>
      </c>
      <c r="B305" s="10" t="s">
        <v>621</v>
      </c>
      <c r="C305" s="7" t="str">
        <f ca="1">IFERROR(__xludf.DUMMYFUNCTION("IMPORTXML(""https://pubmed.ncbi.nlm.nih.gov/""&amp;A311,""/html/body/div[5]/main/div[2]/div/p/text()"")"),"#REF!")</f>
        <v>#REF!</v>
      </c>
      <c r="D305" s="11" t="s">
        <v>8</v>
      </c>
      <c r="E305" s="9"/>
      <c r="F305" s="9" t="s">
        <v>522</v>
      </c>
      <c r="G305" s="9" t="s">
        <v>31</v>
      </c>
    </row>
    <row r="306" spans="1:7" ht="12.5">
      <c r="A306" s="5">
        <v>34311604</v>
      </c>
      <c r="B306" s="6" t="s">
        <v>622</v>
      </c>
      <c r="C306" s="7" t="str">
        <f ca="1">IFERROR(__xludf.DUMMYFUNCTION("IMPORTXML(""https://pubmed.ncbi.nlm.nih.gov/""&amp;A312,""/html/body/div[5]/main/div[2]/div/p/text()"")"),"#REF!")</f>
        <v>#REF!</v>
      </c>
      <c r="D306" s="8" t="s">
        <v>8</v>
      </c>
      <c r="E306" s="5"/>
      <c r="F306" s="5" t="s">
        <v>623</v>
      </c>
      <c r="G306" s="5" t="s">
        <v>52</v>
      </c>
    </row>
    <row r="307" spans="1:7" ht="12.5">
      <c r="A307" s="9">
        <v>29914071</v>
      </c>
      <c r="B307" s="10" t="s">
        <v>624</v>
      </c>
      <c r="C307" s="7" t="str">
        <f ca="1">IFERROR(__xludf.DUMMYFUNCTION("IMPORTXML(""https://pubmed.ncbi.nlm.nih.gov/""&amp;A313,""/html/body/div[5]/main/div[2]/div/p/text()"")"),"Loading...")</f>
        <v>Loading...</v>
      </c>
      <c r="D307" s="11" t="s">
        <v>8</v>
      </c>
      <c r="E307" s="9"/>
      <c r="F307" s="9" t="s">
        <v>625</v>
      </c>
      <c r="G307" s="9" t="s">
        <v>13</v>
      </c>
    </row>
    <row r="308" spans="1:7" ht="12.5">
      <c r="A308" s="5">
        <v>36452226</v>
      </c>
      <c r="B308" s="6" t="s">
        <v>626</v>
      </c>
      <c r="C308" s="7" t="str">
        <f ca="1">IFERROR(__xludf.DUMMYFUNCTION("IMPORTXML(""https://pubmed.ncbi.nlm.nih.gov/""&amp;A314,""/html/body/div[5]/main/div[2]/div/p/text()"")"),"#REF!")</f>
        <v>#REF!</v>
      </c>
      <c r="D308" s="8" t="s">
        <v>8</v>
      </c>
      <c r="E308" s="5"/>
      <c r="F308" s="5" t="s">
        <v>627</v>
      </c>
      <c r="G308" s="5" t="s">
        <v>31</v>
      </c>
    </row>
    <row r="309" spans="1:7" ht="12.5">
      <c r="A309" s="9">
        <v>28512023</v>
      </c>
      <c r="B309" s="10" t="s">
        <v>628</v>
      </c>
      <c r="C309" s="12" t="str">
        <f ca="1">IFERROR(__xludf.DUMMYFUNCTION("IMPORTXML(""https://pubmed.ncbi.nlm.nih.gov/""&amp;A315,""/html/body/div[5]/main/div[2]/div/p/text()"")")," A facile two-step synthetic approach to fluorinated and non-fluorinated 
5-aryl-4-(5-nitrofuran-2-yl)-pyrimidines from readily available 
5-bromo-4-(furan-2-yl)pyrimidine has been developed. All synthesized 
compounds were screened in vitro for their ant"&amp;"ibacterial activities against 
twelve various bacterial strains. It is demonstrated that some of these 
compounds exhibited significant antibacterial activities against strains 
Neisseria gonorrhoeae and Staphylococcus aureus, comparable and even higher 
"&amp;"with that commercial drug Spectinomycin. ")</f>
        <v xml:space="preserve"> A facile two-step synthetic approach to fluorinated and non-fluorinated 
5-aryl-4-(5-nitrofuran-2-yl)-pyrimidines from readily available 
5-bromo-4-(furan-2-yl)pyrimidine has been developed. All synthesized 
compounds were screened in vitro for their antibacterial activities against 
twelve various bacterial strains. It is demonstrated that some of these 
compounds exhibited significant antibacterial activities against strains 
Neisseria gonorrhoeae and Staphylococcus aureus, comparable and even higher 
with that commercial drug Spectinomycin. </v>
      </c>
      <c r="D309" s="9" t="s">
        <v>20</v>
      </c>
      <c r="E309" s="9" t="s">
        <v>23</v>
      </c>
      <c r="F309" s="9" t="s">
        <v>629</v>
      </c>
      <c r="G309" s="9" t="s">
        <v>49</v>
      </c>
    </row>
    <row r="310" spans="1:7" ht="12.5">
      <c r="A310" s="5">
        <v>29553335</v>
      </c>
      <c r="B310" s="6" t="s">
        <v>630</v>
      </c>
      <c r="C310" s="6"/>
      <c r="D310" s="5" t="s">
        <v>26</v>
      </c>
      <c r="E310" s="5"/>
      <c r="F310" s="5" t="s">
        <v>70</v>
      </c>
      <c r="G310" s="5" t="s">
        <v>49</v>
      </c>
    </row>
    <row r="311" spans="1:7" ht="12.5">
      <c r="A311" s="9">
        <v>22547617</v>
      </c>
      <c r="B311" s="10" t="s">
        <v>631</v>
      </c>
      <c r="C311" s="13" t="s">
        <v>632</v>
      </c>
      <c r="D311" s="9" t="s">
        <v>20</v>
      </c>
      <c r="E311" s="9" t="s">
        <v>33</v>
      </c>
      <c r="F311" s="9" t="s">
        <v>633</v>
      </c>
      <c r="G311" s="9" t="s">
        <v>118</v>
      </c>
    </row>
    <row r="312" spans="1:7" ht="12.5">
      <c r="A312" s="5">
        <v>24028864</v>
      </c>
      <c r="B312" s="6" t="s">
        <v>634</v>
      </c>
      <c r="C312" s="7"/>
      <c r="D312" s="8" t="s">
        <v>8</v>
      </c>
      <c r="E312" s="5"/>
      <c r="F312" s="5" t="s">
        <v>286</v>
      </c>
      <c r="G312" s="5" t="s">
        <v>86</v>
      </c>
    </row>
    <row r="313" spans="1:7" ht="12.5">
      <c r="A313" s="9">
        <v>29698384</v>
      </c>
      <c r="B313" s="10" t="s">
        <v>635</v>
      </c>
      <c r="C313" s="7"/>
      <c r="D313" s="11" t="s">
        <v>8</v>
      </c>
      <c r="E313" s="9"/>
      <c r="F313" s="9" t="s">
        <v>636</v>
      </c>
      <c r="G313" s="9" t="s">
        <v>13</v>
      </c>
    </row>
    <row r="314" spans="1:7" ht="12.5">
      <c r="A314" s="5">
        <v>33168910</v>
      </c>
      <c r="B314" s="6" t="s">
        <v>637</v>
      </c>
      <c r="C314" s="7"/>
      <c r="D314" s="8" t="s">
        <v>8</v>
      </c>
      <c r="E314" s="5"/>
      <c r="F314" s="5" t="s">
        <v>638</v>
      </c>
      <c r="G314" s="5" t="s">
        <v>118</v>
      </c>
    </row>
    <row r="315" spans="1:7" ht="12.5">
      <c r="A315" s="9">
        <v>32692363</v>
      </c>
      <c r="B315" s="10" t="s">
        <v>639</v>
      </c>
      <c r="C315" s="13" t="s">
        <v>640</v>
      </c>
      <c r="D315" s="9" t="s">
        <v>20</v>
      </c>
      <c r="E315" s="9" t="s">
        <v>23</v>
      </c>
      <c r="F315" s="9" t="s">
        <v>449</v>
      </c>
      <c r="G315" s="9" t="s">
        <v>10</v>
      </c>
    </row>
    <row r="316" spans="1:7" ht="12.5">
      <c r="A316" s="5">
        <v>30239814</v>
      </c>
      <c r="B316" s="6" t="s">
        <v>641</v>
      </c>
      <c r="C316" s="12"/>
      <c r="D316" s="5" t="s">
        <v>26</v>
      </c>
      <c r="E316" s="5"/>
      <c r="F316" s="5" t="s">
        <v>642</v>
      </c>
      <c r="G316" s="5" t="s">
        <v>41</v>
      </c>
    </row>
    <row r="317" spans="1:7" ht="12.5">
      <c r="A317" s="9">
        <v>29991383</v>
      </c>
      <c r="B317" s="10" t="s">
        <v>643</v>
      </c>
      <c r="C317" s="13" t="s">
        <v>644</v>
      </c>
      <c r="D317" s="9" t="s">
        <v>20</v>
      </c>
      <c r="E317" s="9" t="s">
        <v>33</v>
      </c>
      <c r="F317" s="9" t="s">
        <v>645</v>
      </c>
      <c r="G317" s="9" t="s">
        <v>41</v>
      </c>
    </row>
    <row r="318" spans="1:7" ht="12.5">
      <c r="A318" s="5">
        <v>30234796</v>
      </c>
      <c r="B318" s="6" t="s">
        <v>646</v>
      </c>
      <c r="C318" s="6"/>
      <c r="D318" s="5" t="s">
        <v>26</v>
      </c>
      <c r="E318" s="5"/>
      <c r="F318" s="5" t="s">
        <v>647</v>
      </c>
      <c r="G318" s="5" t="s">
        <v>31</v>
      </c>
    </row>
    <row r="319" spans="1:7" ht="12.5">
      <c r="A319" s="9">
        <v>25480491</v>
      </c>
      <c r="B319" s="10" t="s">
        <v>648</v>
      </c>
      <c r="C319" s="12"/>
      <c r="D319" s="9" t="s">
        <v>26</v>
      </c>
      <c r="E319" s="9"/>
      <c r="F319" s="9" t="s">
        <v>126</v>
      </c>
      <c r="G319" s="9" t="s">
        <v>118</v>
      </c>
    </row>
    <row r="320" spans="1:7" ht="15.5">
      <c r="A320" s="5">
        <v>33168608</v>
      </c>
      <c r="B320" s="6" t="s">
        <v>649</v>
      </c>
      <c r="C320" s="14" t="s">
        <v>650</v>
      </c>
      <c r="D320" s="5" t="s">
        <v>20</v>
      </c>
      <c r="E320" s="5" t="s">
        <v>23</v>
      </c>
      <c r="F320" s="5" t="s">
        <v>651</v>
      </c>
      <c r="G320" s="5" t="s">
        <v>28</v>
      </c>
    </row>
    <row r="321" spans="1:7" ht="12.5">
      <c r="A321" s="9">
        <v>29509792</v>
      </c>
      <c r="B321" s="10" t="s">
        <v>652</v>
      </c>
      <c r="C321" s="13" t="s">
        <v>653</v>
      </c>
      <c r="D321" s="9" t="s">
        <v>20</v>
      </c>
      <c r="E321" s="9" t="s">
        <v>33</v>
      </c>
      <c r="F321" s="9" t="s">
        <v>654</v>
      </c>
      <c r="G321" s="9" t="s">
        <v>31</v>
      </c>
    </row>
    <row r="322" spans="1:7" ht="12.5">
      <c r="A322" s="5">
        <v>31106713</v>
      </c>
      <c r="B322" s="6" t="s">
        <v>655</v>
      </c>
      <c r="C322" s="13" t="s">
        <v>656</v>
      </c>
      <c r="D322" s="5" t="s">
        <v>20</v>
      </c>
      <c r="E322" s="5" t="s">
        <v>33</v>
      </c>
      <c r="F322" s="5" t="s">
        <v>117</v>
      </c>
      <c r="G322" s="5" t="s">
        <v>52</v>
      </c>
    </row>
    <row r="323" spans="1:7" ht="12.5">
      <c r="A323" s="9">
        <v>32766725</v>
      </c>
      <c r="B323" s="10" t="s">
        <v>657</v>
      </c>
      <c r="C323" s="13" t="s">
        <v>658</v>
      </c>
      <c r="D323" s="9" t="s">
        <v>20</v>
      </c>
      <c r="E323" s="9" t="s">
        <v>23</v>
      </c>
      <c r="F323" s="9" t="s">
        <v>659</v>
      </c>
      <c r="G323" s="9" t="s">
        <v>73</v>
      </c>
    </row>
    <row r="324" spans="1:7" ht="12.5">
      <c r="A324" s="5">
        <v>30305317</v>
      </c>
      <c r="B324" s="6" t="s">
        <v>660</v>
      </c>
      <c r="C324" s="13" t="s">
        <v>661</v>
      </c>
      <c r="D324" s="5" t="s">
        <v>20</v>
      </c>
      <c r="E324" s="5" t="s">
        <v>93</v>
      </c>
      <c r="F324" s="5" t="s">
        <v>662</v>
      </c>
      <c r="G324" s="5" t="s">
        <v>18</v>
      </c>
    </row>
    <row r="325" spans="1:7" ht="12.5">
      <c r="A325" s="9">
        <v>32712655</v>
      </c>
      <c r="B325" s="10" t="s">
        <v>663</v>
      </c>
      <c r="C325" s="13" t="s">
        <v>664</v>
      </c>
      <c r="D325" s="9" t="s">
        <v>20</v>
      </c>
      <c r="E325" s="9" t="s">
        <v>23</v>
      </c>
      <c r="F325" s="9" t="s">
        <v>509</v>
      </c>
      <c r="G325" s="9" t="s">
        <v>52</v>
      </c>
    </row>
    <row r="326" spans="1:7" ht="12.5">
      <c r="A326" s="5">
        <v>36110842</v>
      </c>
      <c r="B326" s="6" t="s">
        <v>665</v>
      </c>
      <c r="C326" s="13" t="s">
        <v>666</v>
      </c>
      <c r="D326" s="5" t="s">
        <v>36</v>
      </c>
      <c r="E326" s="5" t="s">
        <v>37</v>
      </c>
      <c r="F326" s="5" t="s">
        <v>667</v>
      </c>
      <c r="G326" s="5" t="s">
        <v>28</v>
      </c>
    </row>
    <row r="327" spans="1:7" ht="12.5">
      <c r="A327" s="9">
        <v>25031289</v>
      </c>
      <c r="B327" s="10" t="s">
        <v>668</v>
      </c>
      <c r="C327" s="7"/>
      <c r="D327" s="11" t="s">
        <v>8</v>
      </c>
      <c r="E327" s="9"/>
      <c r="F327" s="9" t="s">
        <v>669</v>
      </c>
      <c r="G327" s="9" t="s">
        <v>49</v>
      </c>
    </row>
    <row r="328" spans="1:7" ht="12.5">
      <c r="A328" s="5">
        <v>32030356</v>
      </c>
      <c r="B328" s="6" t="s">
        <v>670</v>
      </c>
      <c r="C328" s="7"/>
      <c r="D328" s="8" t="s">
        <v>8</v>
      </c>
      <c r="E328" s="5"/>
      <c r="F328" s="5" t="s">
        <v>671</v>
      </c>
      <c r="G328" s="5" t="s">
        <v>31</v>
      </c>
    </row>
    <row r="329" spans="1:7" ht="12.5">
      <c r="A329" s="9">
        <v>27771470</v>
      </c>
      <c r="B329" s="10" t="s">
        <v>672</v>
      </c>
      <c r="C329" s="7"/>
      <c r="D329" s="11" t="s">
        <v>8</v>
      </c>
      <c r="E329" s="9"/>
      <c r="F329" s="9" t="s">
        <v>263</v>
      </c>
      <c r="G329" s="9" t="s">
        <v>52</v>
      </c>
    </row>
    <row r="330" spans="1:7" ht="12.5">
      <c r="A330" s="5">
        <v>30102261</v>
      </c>
      <c r="B330" s="6" t="s">
        <v>673</v>
      </c>
      <c r="C330" s="7"/>
      <c r="D330" s="8" t="s">
        <v>8</v>
      </c>
      <c r="E330" s="5"/>
      <c r="F330" s="5" t="s">
        <v>212</v>
      </c>
      <c r="G330" s="5" t="s">
        <v>118</v>
      </c>
    </row>
    <row r="331" spans="1:7" ht="12.5">
      <c r="A331" s="9">
        <v>26462189</v>
      </c>
      <c r="B331" s="10" t="s">
        <v>674</v>
      </c>
      <c r="C331" s="7"/>
      <c r="D331" s="11" t="s">
        <v>8</v>
      </c>
      <c r="E331" s="9"/>
      <c r="F331" s="9" t="s">
        <v>162</v>
      </c>
      <c r="G331" s="9" t="s">
        <v>49</v>
      </c>
    </row>
    <row r="332" spans="1:7" ht="12.5">
      <c r="A332" s="5">
        <v>29465695</v>
      </c>
      <c r="B332" s="6" t="s">
        <v>675</v>
      </c>
      <c r="C332" s="7"/>
      <c r="D332" s="8" t="s">
        <v>8</v>
      </c>
      <c r="E332" s="5"/>
      <c r="F332" s="5" t="s">
        <v>526</v>
      </c>
      <c r="G332" s="5" t="s">
        <v>118</v>
      </c>
    </row>
    <row r="333" spans="1:7" ht="12.5">
      <c r="A333" s="9">
        <v>32438866</v>
      </c>
      <c r="B333" s="10" t="s">
        <v>676</v>
      </c>
      <c r="C333" s="10"/>
      <c r="D333" s="9" t="s">
        <v>15</v>
      </c>
      <c r="E333" s="9" t="s">
        <v>16</v>
      </c>
      <c r="F333" s="9" t="s">
        <v>307</v>
      </c>
      <c r="G333" s="9" t="s">
        <v>52</v>
      </c>
    </row>
    <row r="334" spans="1:7" ht="12.5">
      <c r="A334" s="5">
        <v>29247013</v>
      </c>
      <c r="B334" s="6" t="s">
        <v>677</v>
      </c>
      <c r="C334" s="12"/>
      <c r="D334" s="5" t="s">
        <v>15</v>
      </c>
      <c r="E334" s="5" t="s">
        <v>16</v>
      </c>
      <c r="F334" s="5" t="s">
        <v>78</v>
      </c>
      <c r="G334" s="5" t="s">
        <v>31</v>
      </c>
    </row>
    <row r="335" spans="1:7" ht="12.5">
      <c r="A335" s="9">
        <v>33720324</v>
      </c>
      <c r="B335" s="10" t="s">
        <v>678</v>
      </c>
      <c r="C335" s="12"/>
      <c r="D335" s="9"/>
      <c r="E335" s="9"/>
      <c r="F335" s="9" t="s">
        <v>679</v>
      </c>
      <c r="G335" s="9" t="s">
        <v>118</v>
      </c>
    </row>
    <row r="336" spans="1:7" ht="12.5">
      <c r="A336" s="5">
        <v>27512795</v>
      </c>
      <c r="B336" s="6" t="s">
        <v>680</v>
      </c>
      <c r="C336" s="7"/>
      <c r="D336" s="8" t="s">
        <v>8</v>
      </c>
      <c r="E336" s="5"/>
      <c r="F336" s="5">
        <v>2016</v>
      </c>
      <c r="G336" s="5" t="s">
        <v>10</v>
      </c>
    </row>
    <row r="337" spans="1:7" ht="12.5">
      <c r="A337" s="9">
        <v>27875039</v>
      </c>
      <c r="B337" s="10" t="s">
        <v>681</v>
      </c>
      <c r="C337" s="7"/>
      <c r="D337" s="11" t="s">
        <v>8</v>
      </c>
      <c r="E337" s="9"/>
      <c r="F337" s="9">
        <v>2016</v>
      </c>
      <c r="G337" s="9" t="s">
        <v>73</v>
      </c>
    </row>
    <row r="338" spans="1:7" ht="12.5">
      <c r="A338" s="5">
        <v>27559553</v>
      </c>
      <c r="B338" s="6" t="s">
        <v>682</v>
      </c>
      <c r="C338" s="7"/>
      <c r="D338" s="8" t="s">
        <v>8</v>
      </c>
      <c r="E338" s="5"/>
      <c r="F338" s="5">
        <v>2016</v>
      </c>
      <c r="G338" s="5" t="s">
        <v>41</v>
      </c>
    </row>
    <row r="339" spans="1:7" ht="12.5">
      <c r="A339" s="9">
        <v>28681823</v>
      </c>
      <c r="B339" s="10" t="s">
        <v>683</v>
      </c>
      <c r="C339" s="7"/>
      <c r="D339" s="11" t="s">
        <v>8</v>
      </c>
      <c r="E339" s="9"/>
      <c r="F339" s="9" t="s">
        <v>684</v>
      </c>
      <c r="G339" s="9" t="s">
        <v>31</v>
      </c>
    </row>
    <row r="340" spans="1:7" ht="12.5">
      <c r="A340" s="5">
        <v>29708009</v>
      </c>
      <c r="B340" s="6" t="s">
        <v>685</v>
      </c>
      <c r="C340" s="7"/>
      <c r="D340" s="8" t="s">
        <v>8</v>
      </c>
      <c r="E340" s="5"/>
      <c r="F340" s="5" t="s">
        <v>212</v>
      </c>
      <c r="G340" s="5" t="s">
        <v>13</v>
      </c>
    </row>
    <row r="341" spans="1:7" ht="12.5">
      <c r="A341" s="9">
        <v>34683991</v>
      </c>
      <c r="B341" s="10" t="s">
        <v>686</v>
      </c>
      <c r="C341" s="7"/>
      <c r="D341" s="11" t="s">
        <v>8</v>
      </c>
      <c r="E341" s="9"/>
      <c r="F341" s="9" t="s">
        <v>687</v>
      </c>
      <c r="G341" s="9" t="s">
        <v>73</v>
      </c>
    </row>
    <row r="342" spans="1:7" ht="12.5">
      <c r="A342" s="5">
        <v>30878689</v>
      </c>
      <c r="B342" s="6" t="s">
        <v>688</v>
      </c>
      <c r="C342" s="7"/>
      <c r="D342" s="8" t="s">
        <v>8</v>
      </c>
      <c r="E342" s="5"/>
      <c r="F342" s="5" t="s">
        <v>12</v>
      </c>
      <c r="G342" s="5" t="s">
        <v>28</v>
      </c>
    </row>
    <row r="343" spans="1:7" ht="12.5">
      <c r="A343" s="9">
        <v>22454816</v>
      </c>
      <c r="B343" s="10" t="s">
        <v>689</v>
      </c>
      <c r="C343" s="7"/>
      <c r="D343" s="11" t="s">
        <v>8</v>
      </c>
      <c r="E343" s="9"/>
      <c r="F343" s="9" t="s">
        <v>174</v>
      </c>
      <c r="G343" s="9" t="s">
        <v>10</v>
      </c>
    </row>
    <row r="344" spans="1:7" ht="12.5">
      <c r="A344" s="5">
        <v>25529577</v>
      </c>
      <c r="B344" s="6" t="s">
        <v>690</v>
      </c>
      <c r="C344" s="7"/>
      <c r="D344" s="8" t="s">
        <v>8</v>
      </c>
      <c r="E344" s="5"/>
      <c r="F344" s="5" t="s">
        <v>691</v>
      </c>
      <c r="G344" s="5" t="s">
        <v>31</v>
      </c>
    </row>
    <row r="345" spans="1:7" ht="12.5">
      <c r="A345" s="9">
        <v>34417414</v>
      </c>
      <c r="B345" s="10" t="s">
        <v>692</v>
      </c>
      <c r="C345" s="7"/>
      <c r="D345" s="11" t="s">
        <v>8</v>
      </c>
      <c r="E345" s="9"/>
      <c r="F345" s="9" t="s">
        <v>693</v>
      </c>
      <c r="G345" s="9" t="s">
        <v>31</v>
      </c>
    </row>
    <row r="346" spans="1:7" ht="12.5">
      <c r="A346" s="5">
        <v>26119905</v>
      </c>
      <c r="B346" s="6" t="s">
        <v>694</v>
      </c>
      <c r="C346" s="7"/>
      <c r="D346" s="8" t="s">
        <v>8</v>
      </c>
      <c r="E346" s="5"/>
      <c r="F346" s="5" t="s">
        <v>85</v>
      </c>
      <c r="G346" s="5" t="s">
        <v>31</v>
      </c>
    </row>
    <row r="347" spans="1:7" ht="12.5">
      <c r="A347" s="9">
        <v>32569625</v>
      </c>
      <c r="B347" s="10" t="s">
        <v>695</v>
      </c>
      <c r="C347" s="7"/>
      <c r="D347" s="11" t="s">
        <v>8</v>
      </c>
      <c r="E347" s="9"/>
      <c r="F347" s="9" t="s">
        <v>696</v>
      </c>
      <c r="G347" s="9" t="s">
        <v>86</v>
      </c>
    </row>
    <row r="348" spans="1:7" ht="12.5">
      <c r="A348" s="5">
        <v>26771402</v>
      </c>
      <c r="B348" s="6" t="s">
        <v>697</v>
      </c>
      <c r="C348" s="7"/>
      <c r="D348" s="8" t="s">
        <v>8</v>
      </c>
      <c r="E348" s="5"/>
      <c r="F348" s="5" t="s">
        <v>698</v>
      </c>
      <c r="G348" s="5" t="s">
        <v>10</v>
      </c>
    </row>
    <row r="349" spans="1:7" ht="12.5">
      <c r="A349" s="9">
        <v>26042815</v>
      </c>
      <c r="B349" s="10" t="s">
        <v>699</v>
      </c>
      <c r="C349" s="7"/>
      <c r="D349" s="11" t="s">
        <v>8</v>
      </c>
      <c r="E349" s="9"/>
      <c r="F349" s="9" t="s">
        <v>700</v>
      </c>
      <c r="G349" s="9" t="s">
        <v>118</v>
      </c>
    </row>
    <row r="350" spans="1:7" ht="12.5">
      <c r="A350" s="5">
        <v>31056291</v>
      </c>
      <c r="B350" s="6" t="s">
        <v>701</v>
      </c>
      <c r="C350" s="7"/>
      <c r="D350" s="8" t="s">
        <v>8</v>
      </c>
      <c r="E350" s="5"/>
      <c r="F350" s="5" t="s">
        <v>702</v>
      </c>
      <c r="G350" s="5" t="s">
        <v>52</v>
      </c>
    </row>
    <row r="351" spans="1:7" ht="12.5">
      <c r="A351" s="9">
        <v>33528794</v>
      </c>
      <c r="B351" s="10" t="s">
        <v>703</v>
      </c>
      <c r="C351" s="7"/>
      <c r="D351" s="11" t="s">
        <v>8</v>
      </c>
      <c r="E351" s="9"/>
      <c r="F351" s="9" t="s">
        <v>704</v>
      </c>
      <c r="G351" s="9" t="s">
        <v>18</v>
      </c>
    </row>
    <row r="352" spans="1:7" ht="12.5">
      <c r="A352" s="5">
        <v>33785063</v>
      </c>
      <c r="B352" s="6" t="s">
        <v>705</v>
      </c>
      <c r="C352" s="12"/>
      <c r="D352" s="5" t="s">
        <v>15</v>
      </c>
      <c r="E352" s="5" t="s">
        <v>98</v>
      </c>
      <c r="F352" s="5" t="s">
        <v>706</v>
      </c>
      <c r="G352" s="5" t="s">
        <v>18</v>
      </c>
    </row>
    <row r="353" spans="1:7" ht="12.5">
      <c r="A353" s="9">
        <v>23085077</v>
      </c>
      <c r="B353" s="10" t="s">
        <v>707</v>
      </c>
      <c r="C353" s="12"/>
      <c r="D353" s="9" t="s">
        <v>15</v>
      </c>
      <c r="E353" s="9" t="s">
        <v>16</v>
      </c>
      <c r="F353" s="9" t="s">
        <v>708</v>
      </c>
      <c r="G353" s="9" t="s">
        <v>118</v>
      </c>
    </row>
    <row r="354" spans="1:7" ht="12.5">
      <c r="A354" s="5">
        <v>22397678</v>
      </c>
      <c r="B354" s="6" t="s">
        <v>709</v>
      </c>
      <c r="C354" s="12"/>
      <c r="D354" s="5" t="s">
        <v>15</v>
      </c>
      <c r="E354" s="5" t="s">
        <v>98</v>
      </c>
      <c r="F354" s="5" t="s">
        <v>710</v>
      </c>
      <c r="G354" s="5" t="s">
        <v>31</v>
      </c>
    </row>
    <row r="355" spans="1:7" ht="12.5">
      <c r="A355" s="9">
        <v>27216061</v>
      </c>
      <c r="B355" s="10" t="s">
        <v>711</v>
      </c>
      <c r="C355" s="12"/>
      <c r="D355" s="9" t="s">
        <v>15</v>
      </c>
      <c r="E355" s="9" t="s">
        <v>16</v>
      </c>
      <c r="F355" s="9" t="s">
        <v>258</v>
      </c>
      <c r="G355" s="9" t="s">
        <v>13</v>
      </c>
    </row>
    <row r="356" spans="1:7" ht="12.5">
      <c r="A356" s="5">
        <v>32011233</v>
      </c>
      <c r="B356" s="6" t="s">
        <v>712</v>
      </c>
      <c r="C356" s="12"/>
      <c r="D356" s="5" t="s">
        <v>15</v>
      </c>
      <c r="E356" s="5" t="s">
        <v>98</v>
      </c>
      <c r="F356" s="5" t="s">
        <v>713</v>
      </c>
      <c r="G356" s="5" t="s">
        <v>52</v>
      </c>
    </row>
    <row r="357" spans="1:7" ht="12.5">
      <c r="A357" s="9">
        <v>29976521</v>
      </c>
      <c r="B357" s="10" t="s">
        <v>714</v>
      </c>
      <c r="C357" s="12"/>
      <c r="D357" s="9" t="s">
        <v>15</v>
      </c>
      <c r="E357" s="9" t="s">
        <v>98</v>
      </c>
      <c r="F357" s="9" t="s">
        <v>645</v>
      </c>
      <c r="G357" s="9" t="s">
        <v>18</v>
      </c>
    </row>
    <row r="358" spans="1:7" ht="12.5">
      <c r="A358" s="5">
        <v>32013864</v>
      </c>
      <c r="B358" s="6" t="s">
        <v>715</v>
      </c>
      <c r="C358" s="12"/>
      <c r="D358" s="5" t="s">
        <v>15</v>
      </c>
      <c r="E358" s="5" t="s">
        <v>716</v>
      </c>
      <c r="F358" s="5" t="s">
        <v>713</v>
      </c>
      <c r="G358" s="5" t="s">
        <v>41</v>
      </c>
    </row>
    <row r="359" spans="1:7" ht="12.5">
      <c r="A359" s="9">
        <v>34155204</v>
      </c>
      <c r="B359" s="10" t="s">
        <v>717</v>
      </c>
      <c r="C359" s="12"/>
      <c r="D359" s="9" t="s">
        <v>15</v>
      </c>
      <c r="E359" s="9" t="s">
        <v>98</v>
      </c>
      <c r="F359" s="9" t="s">
        <v>718</v>
      </c>
      <c r="G359" s="9" t="s">
        <v>31</v>
      </c>
    </row>
    <row r="360" spans="1:7" ht="12.5">
      <c r="A360" s="5">
        <v>34609833</v>
      </c>
      <c r="B360" s="6" t="s">
        <v>719</v>
      </c>
      <c r="C360" s="12"/>
      <c r="D360" s="5" t="s">
        <v>15</v>
      </c>
      <c r="E360" s="5" t="s">
        <v>16</v>
      </c>
      <c r="F360" s="5" t="s">
        <v>720</v>
      </c>
      <c r="G360" s="5" t="s">
        <v>18</v>
      </c>
    </row>
    <row r="361" spans="1:7" ht="12.5">
      <c r="A361" s="9">
        <v>33097713</v>
      </c>
      <c r="B361" s="10" t="s">
        <v>721</v>
      </c>
      <c r="C361" s="12"/>
      <c r="D361" s="9" t="s">
        <v>15</v>
      </c>
      <c r="E361" s="9" t="s">
        <v>16</v>
      </c>
      <c r="F361" s="9" t="s">
        <v>722</v>
      </c>
      <c r="G361" s="9" t="s">
        <v>18</v>
      </c>
    </row>
    <row r="362" spans="1:7" ht="12.5">
      <c r="A362" s="5">
        <v>26538505</v>
      </c>
      <c r="B362" s="6" t="s">
        <v>723</v>
      </c>
      <c r="C362" s="12"/>
      <c r="D362" s="5" t="s">
        <v>15</v>
      </c>
      <c r="E362" s="5" t="s">
        <v>16</v>
      </c>
      <c r="F362" s="5" t="s">
        <v>698</v>
      </c>
      <c r="G362" s="5" t="s">
        <v>41</v>
      </c>
    </row>
    <row r="363" spans="1:7" ht="12.5">
      <c r="A363" s="9">
        <v>29701830</v>
      </c>
      <c r="B363" s="10" t="s">
        <v>724</v>
      </c>
      <c r="C363" s="12"/>
      <c r="D363" s="9" t="s">
        <v>15</v>
      </c>
      <c r="E363" s="9" t="s">
        <v>98</v>
      </c>
      <c r="F363" s="9" t="s">
        <v>725</v>
      </c>
      <c r="G363" s="9" t="s">
        <v>31</v>
      </c>
    </row>
    <row r="364" spans="1:7" ht="12.5">
      <c r="A364" s="5">
        <v>30412735</v>
      </c>
      <c r="B364" s="6" t="s">
        <v>726</v>
      </c>
      <c r="C364" s="12"/>
      <c r="D364" s="5" t="s">
        <v>15</v>
      </c>
      <c r="E364" s="5" t="s">
        <v>98</v>
      </c>
      <c r="F364" s="5" t="s">
        <v>61</v>
      </c>
      <c r="G364" s="5" t="s">
        <v>73</v>
      </c>
    </row>
    <row r="365" spans="1:7" ht="12.5">
      <c r="A365" s="9">
        <v>31870236</v>
      </c>
      <c r="B365" s="10" t="s">
        <v>727</v>
      </c>
      <c r="C365" s="12"/>
      <c r="D365" s="9" t="s">
        <v>15</v>
      </c>
      <c r="E365" s="9" t="s">
        <v>98</v>
      </c>
      <c r="F365" s="9" t="s">
        <v>522</v>
      </c>
      <c r="G365" s="9" t="s">
        <v>10</v>
      </c>
    </row>
    <row r="366" spans="1:7" ht="12.5">
      <c r="A366" s="5">
        <v>31021281</v>
      </c>
      <c r="B366" s="6" t="s">
        <v>728</v>
      </c>
      <c r="C366" s="12"/>
      <c r="D366" s="5" t="s">
        <v>15</v>
      </c>
      <c r="E366" s="5" t="s">
        <v>98</v>
      </c>
      <c r="F366" s="5" t="s">
        <v>117</v>
      </c>
      <c r="G366" s="5" t="s">
        <v>13</v>
      </c>
    </row>
    <row r="367" spans="1:7" ht="12.5">
      <c r="A367" s="9">
        <v>29293395</v>
      </c>
      <c r="B367" s="10" t="s">
        <v>729</v>
      </c>
      <c r="C367" s="12"/>
      <c r="D367" s="9" t="s">
        <v>15</v>
      </c>
      <c r="E367" s="9" t="s">
        <v>98</v>
      </c>
      <c r="F367" s="9" t="s">
        <v>730</v>
      </c>
      <c r="G367" s="9" t="s">
        <v>49</v>
      </c>
    </row>
    <row r="368" spans="1:7" ht="12.5">
      <c r="A368" s="5">
        <v>30321622</v>
      </c>
      <c r="B368" s="6" t="s">
        <v>731</v>
      </c>
      <c r="C368" s="12"/>
      <c r="D368" s="5" t="s">
        <v>15</v>
      </c>
      <c r="E368" s="5" t="s">
        <v>98</v>
      </c>
      <c r="F368" s="5" t="s">
        <v>122</v>
      </c>
      <c r="G368" s="5" t="s">
        <v>49</v>
      </c>
    </row>
    <row r="369" spans="1:7" ht="12.5">
      <c r="A369" s="9">
        <v>32253235</v>
      </c>
      <c r="B369" s="10" t="s">
        <v>732</v>
      </c>
      <c r="C369" s="12"/>
      <c r="D369" s="9" t="s">
        <v>15</v>
      </c>
      <c r="E369" s="9" t="s">
        <v>98</v>
      </c>
      <c r="F369" s="9" t="s">
        <v>733</v>
      </c>
      <c r="G369" s="9" t="s">
        <v>49</v>
      </c>
    </row>
    <row r="370" spans="1:7" ht="12.5">
      <c r="A370" s="5">
        <v>30808445</v>
      </c>
      <c r="B370" s="6" t="s">
        <v>734</v>
      </c>
      <c r="C370" s="12"/>
      <c r="D370" s="5" t="s">
        <v>15</v>
      </c>
      <c r="E370" s="5" t="s">
        <v>98</v>
      </c>
      <c r="F370" s="5" t="s">
        <v>61</v>
      </c>
      <c r="G370" s="5" t="s">
        <v>86</v>
      </c>
    </row>
    <row r="371" spans="1:7" ht="12.5">
      <c r="A371" s="9">
        <v>31331979</v>
      </c>
      <c r="B371" s="10" t="s">
        <v>735</v>
      </c>
      <c r="C371" s="12"/>
      <c r="D371" s="9" t="s">
        <v>15</v>
      </c>
      <c r="E371" s="9" t="s">
        <v>98</v>
      </c>
      <c r="F371" s="9" t="s">
        <v>736</v>
      </c>
      <c r="G371" s="9" t="s">
        <v>18</v>
      </c>
    </row>
    <row r="372" spans="1:7" ht="12.5">
      <c r="A372" s="5">
        <v>29615507</v>
      </c>
      <c r="B372" s="6" t="s">
        <v>737</v>
      </c>
      <c r="C372" s="12"/>
      <c r="D372" s="5" t="s">
        <v>15</v>
      </c>
      <c r="E372" s="5" t="s">
        <v>98</v>
      </c>
      <c r="F372" s="5" t="s">
        <v>738</v>
      </c>
      <c r="G372" s="5" t="s">
        <v>118</v>
      </c>
    </row>
    <row r="373" spans="1:7" ht="12.5">
      <c r="A373" s="9">
        <v>27432597</v>
      </c>
      <c r="B373" s="10" t="s">
        <v>739</v>
      </c>
      <c r="C373" s="12"/>
      <c r="D373" s="9" t="s">
        <v>15</v>
      </c>
      <c r="E373" s="9" t="s">
        <v>98</v>
      </c>
      <c r="F373" s="9" t="s">
        <v>740</v>
      </c>
      <c r="G373" s="9" t="s">
        <v>13</v>
      </c>
    </row>
    <row r="374" spans="1:7" ht="12.5">
      <c r="A374" s="5">
        <v>26318193</v>
      </c>
      <c r="B374" s="6" t="s">
        <v>741</v>
      </c>
      <c r="C374" s="12"/>
      <c r="D374" s="5" t="s">
        <v>15</v>
      </c>
      <c r="E374" s="5" t="s">
        <v>98</v>
      </c>
      <c r="F374" s="5" t="s">
        <v>228</v>
      </c>
      <c r="G374" s="5" t="s">
        <v>18</v>
      </c>
    </row>
    <row r="375" spans="1:7" ht="12.5">
      <c r="A375" s="9">
        <v>32457251</v>
      </c>
      <c r="B375" s="10" t="s">
        <v>742</v>
      </c>
      <c r="C375" s="12"/>
      <c r="D375" s="9" t="s">
        <v>15</v>
      </c>
      <c r="E375" s="9" t="s">
        <v>98</v>
      </c>
      <c r="F375" s="9" t="s">
        <v>743</v>
      </c>
      <c r="G375" s="9" t="s">
        <v>31</v>
      </c>
    </row>
    <row r="376" spans="1:7" ht="12.5">
      <c r="A376" s="5">
        <v>34573293</v>
      </c>
      <c r="B376" s="6" t="s">
        <v>744</v>
      </c>
      <c r="C376" s="12"/>
      <c r="D376" s="5" t="s">
        <v>15</v>
      </c>
      <c r="E376" s="5" t="s">
        <v>98</v>
      </c>
      <c r="F376" s="5" t="s">
        <v>745</v>
      </c>
      <c r="G376" s="5" t="s">
        <v>28</v>
      </c>
    </row>
    <row r="377" spans="1:7" ht="12.5">
      <c r="A377" s="9">
        <v>22492860</v>
      </c>
      <c r="B377" s="10" t="s">
        <v>746</v>
      </c>
      <c r="C377" s="12"/>
      <c r="D377" s="9" t="s">
        <v>15</v>
      </c>
      <c r="E377" s="9" t="s">
        <v>16</v>
      </c>
      <c r="F377" s="9" t="s">
        <v>296</v>
      </c>
      <c r="G377" s="9" t="s">
        <v>73</v>
      </c>
    </row>
    <row r="378" spans="1:7" ht="12.5">
      <c r="A378" s="5">
        <v>29950382</v>
      </c>
      <c r="B378" s="6" t="s">
        <v>747</v>
      </c>
      <c r="C378" s="12"/>
      <c r="D378" s="5" t="s">
        <v>15</v>
      </c>
      <c r="E378" s="5" t="s">
        <v>16</v>
      </c>
      <c r="F378" s="5" t="s">
        <v>748</v>
      </c>
      <c r="G378" s="5" t="s">
        <v>31</v>
      </c>
    </row>
    <row r="379" spans="1:7" ht="12.5">
      <c r="A379" s="9">
        <v>23265744</v>
      </c>
      <c r="B379" s="10" t="s">
        <v>749</v>
      </c>
      <c r="C379" s="12"/>
      <c r="D379" s="9" t="s">
        <v>15</v>
      </c>
      <c r="E379" s="9" t="s">
        <v>16</v>
      </c>
      <c r="F379" s="9" t="s">
        <v>21</v>
      </c>
      <c r="G379" s="9" t="s">
        <v>73</v>
      </c>
    </row>
    <row r="380" spans="1:7" ht="12.5">
      <c r="A380" s="5">
        <v>33760080</v>
      </c>
      <c r="B380" s="6" t="s">
        <v>750</v>
      </c>
      <c r="C380" s="12"/>
      <c r="D380" s="5" t="s">
        <v>15</v>
      </c>
      <c r="E380" s="5" t="s">
        <v>16</v>
      </c>
      <c r="F380" s="5" t="s">
        <v>751</v>
      </c>
      <c r="G380" s="5" t="s">
        <v>86</v>
      </c>
    </row>
    <row r="381" spans="1:7" ht="12.5">
      <c r="A381" s="9">
        <v>31362987</v>
      </c>
      <c r="B381" s="10" t="s">
        <v>752</v>
      </c>
      <c r="C381" s="12"/>
      <c r="D381" s="9" t="s">
        <v>15</v>
      </c>
      <c r="E381" s="9" t="s">
        <v>16</v>
      </c>
      <c r="F381" s="9" t="s">
        <v>736</v>
      </c>
      <c r="G381" s="9" t="s">
        <v>18</v>
      </c>
    </row>
    <row r="382" spans="1:7" ht="12.5">
      <c r="A382" s="5">
        <v>32568875</v>
      </c>
      <c r="B382" s="6" t="s">
        <v>753</v>
      </c>
      <c r="C382" s="12"/>
      <c r="D382" s="5" t="s">
        <v>15</v>
      </c>
      <c r="E382" s="5" t="s">
        <v>16</v>
      </c>
      <c r="F382" s="5" t="s">
        <v>754</v>
      </c>
      <c r="G382" s="5" t="s">
        <v>28</v>
      </c>
    </row>
    <row r="383" spans="1:7" ht="12.5">
      <c r="A383" s="9">
        <v>30063202</v>
      </c>
      <c r="B383" s="10" t="s">
        <v>755</v>
      </c>
      <c r="C383" s="12"/>
      <c r="D383" s="9" t="s">
        <v>15</v>
      </c>
      <c r="E383" s="9" t="s">
        <v>16</v>
      </c>
      <c r="F383" s="9" t="s">
        <v>756</v>
      </c>
      <c r="G383" s="9" t="s">
        <v>28</v>
      </c>
    </row>
    <row r="384" spans="1:7" ht="12.5">
      <c r="A384" s="5">
        <v>34324655</v>
      </c>
      <c r="B384" s="6" t="s">
        <v>757</v>
      </c>
      <c r="C384" s="12"/>
      <c r="D384" s="5" t="s">
        <v>15</v>
      </c>
      <c r="E384" s="5" t="s">
        <v>16</v>
      </c>
      <c r="F384" s="5" t="s">
        <v>758</v>
      </c>
      <c r="G384" s="5" t="s">
        <v>28</v>
      </c>
    </row>
    <row r="385" spans="1:7" ht="12.5">
      <c r="A385" s="9">
        <v>32785692</v>
      </c>
      <c r="B385" s="10" t="s">
        <v>759</v>
      </c>
      <c r="C385" s="12"/>
      <c r="D385" s="9" t="s">
        <v>15</v>
      </c>
      <c r="E385" s="9" t="s">
        <v>16</v>
      </c>
      <c r="F385" s="9" t="s">
        <v>509</v>
      </c>
      <c r="G385" s="9" t="s">
        <v>118</v>
      </c>
    </row>
    <row r="386" spans="1:7" ht="12.5">
      <c r="A386" s="5">
        <v>31365550</v>
      </c>
      <c r="B386" s="6" t="s">
        <v>760</v>
      </c>
      <c r="C386" s="12"/>
      <c r="D386" s="5" t="s">
        <v>15</v>
      </c>
      <c r="E386" s="5" t="s">
        <v>16</v>
      </c>
      <c r="F386" s="5" t="s">
        <v>46</v>
      </c>
      <c r="G386" s="5" t="s">
        <v>49</v>
      </c>
    </row>
    <row r="387" spans="1:7" ht="12.5">
      <c r="A387" s="9">
        <v>22334604</v>
      </c>
      <c r="B387" s="10" t="s">
        <v>761</v>
      </c>
      <c r="C387" s="12"/>
      <c r="D387" s="9" t="s">
        <v>15</v>
      </c>
      <c r="E387" s="9" t="s">
        <v>16</v>
      </c>
      <c r="F387" s="9" t="s">
        <v>762</v>
      </c>
      <c r="G387" s="9" t="s">
        <v>10</v>
      </c>
    </row>
    <row r="388" spans="1:7" ht="12.5">
      <c r="A388" s="5">
        <v>23221802</v>
      </c>
      <c r="B388" s="6" t="s">
        <v>763</v>
      </c>
      <c r="C388" s="12"/>
      <c r="D388" s="5" t="s">
        <v>15</v>
      </c>
      <c r="E388" s="5" t="s">
        <v>16</v>
      </c>
      <c r="F388" s="5" t="s">
        <v>764</v>
      </c>
      <c r="G388" s="5" t="s">
        <v>73</v>
      </c>
    </row>
    <row r="389" spans="1:7" ht="12.5">
      <c r="A389" s="9">
        <v>35137690</v>
      </c>
      <c r="B389" s="10" t="s">
        <v>765</v>
      </c>
      <c r="C389" s="12"/>
      <c r="D389" s="9" t="s">
        <v>15</v>
      </c>
      <c r="E389" s="9" t="s">
        <v>16</v>
      </c>
      <c r="F389" s="9" t="s">
        <v>124</v>
      </c>
      <c r="G389" s="9" t="s">
        <v>52</v>
      </c>
    </row>
    <row r="390" spans="1:7" ht="12.5">
      <c r="A390" s="5">
        <v>32692362</v>
      </c>
      <c r="B390" s="6" t="s">
        <v>766</v>
      </c>
      <c r="C390" s="12"/>
      <c r="D390" s="5" t="s">
        <v>15</v>
      </c>
      <c r="E390" s="5" t="s">
        <v>16</v>
      </c>
      <c r="F390" s="5" t="s">
        <v>449</v>
      </c>
      <c r="G390" s="5" t="s">
        <v>49</v>
      </c>
    </row>
    <row r="391" spans="1:7" ht="12.5">
      <c r="A391" s="9">
        <v>35813416</v>
      </c>
      <c r="B391" s="10" t="s">
        <v>767</v>
      </c>
      <c r="C391" s="12"/>
      <c r="D391" s="9" t="s">
        <v>15</v>
      </c>
      <c r="E391" s="9" t="s">
        <v>16</v>
      </c>
      <c r="F391" s="9" t="s">
        <v>768</v>
      </c>
      <c r="G391" s="9" t="s">
        <v>28</v>
      </c>
    </row>
    <row r="392" spans="1:7" ht="12.5">
      <c r="A392" s="5">
        <v>22155830</v>
      </c>
      <c r="B392" s="6" t="s">
        <v>769</v>
      </c>
      <c r="C392" s="12"/>
      <c r="D392" s="5" t="s">
        <v>15</v>
      </c>
      <c r="E392" s="5" t="s">
        <v>16</v>
      </c>
      <c r="F392" s="5" t="s">
        <v>174</v>
      </c>
      <c r="G392" s="5" t="s">
        <v>18</v>
      </c>
    </row>
    <row r="393" spans="1:7" ht="12.5">
      <c r="A393" s="9">
        <v>27999043</v>
      </c>
      <c r="B393" s="10" t="s">
        <v>770</v>
      </c>
      <c r="C393" s="12"/>
      <c r="D393" s="9" t="s">
        <v>15</v>
      </c>
      <c r="E393" s="9" t="s">
        <v>16</v>
      </c>
      <c r="F393" s="9" t="s">
        <v>771</v>
      </c>
      <c r="G393" s="9" t="s">
        <v>31</v>
      </c>
    </row>
    <row r="394" spans="1:7" ht="12.5">
      <c r="A394" s="5">
        <v>31581294</v>
      </c>
      <c r="B394" s="6" t="s">
        <v>772</v>
      </c>
      <c r="C394" s="12"/>
      <c r="D394" s="5" t="s">
        <v>15</v>
      </c>
      <c r="E394" s="5" t="s">
        <v>16</v>
      </c>
      <c r="F394" s="5" t="s">
        <v>773</v>
      </c>
      <c r="G394" s="5" t="s">
        <v>52</v>
      </c>
    </row>
    <row r="395" spans="1:7" ht="12.5">
      <c r="A395" s="9">
        <v>30087172</v>
      </c>
      <c r="B395" s="10" t="s">
        <v>774</v>
      </c>
      <c r="C395" s="12"/>
      <c r="D395" s="9" t="s">
        <v>15</v>
      </c>
      <c r="E395" s="9" t="s">
        <v>16</v>
      </c>
      <c r="F395" s="9" t="s">
        <v>775</v>
      </c>
      <c r="G395" s="9" t="s">
        <v>10</v>
      </c>
    </row>
    <row r="396" spans="1:7" ht="12.5">
      <c r="A396" s="5">
        <v>31744915</v>
      </c>
      <c r="B396" s="6" t="s">
        <v>776</v>
      </c>
      <c r="C396" s="12"/>
      <c r="D396" s="5" t="s">
        <v>15</v>
      </c>
      <c r="E396" s="5" t="s">
        <v>16</v>
      </c>
      <c r="F396" s="5" t="s">
        <v>777</v>
      </c>
      <c r="G396" s="5" t="s">
        <v>13</v>
      </c>
    </row>
    <row r="397" spans="1:7" ht="12.5">
      <c r="A397" s="9">
        <v>30376120</v>
      </c>
      <c r="B397" s="10" t="s">
        <v>778</v>
      </c>
      <c r="C397" s="12"/>
      <c r="D397" s="9" t="s">
        <v>15</v>
      </c>
      <c r="E397" s="9" t="s">
        <v>16</v>
      </c>
      <c r="F397" s="9" t="s">
        <v>779</v>
      </c>
      <c r="G397" s="9" t="s">
        <v>10</v>
      </c>
    </row>
    <row r="398" spans="1:7" ht="12.5">
      <c r="A398" s="5">
        <v>31341071</v>
      </c>
      <c r="B398" s="6" t="s">
        <v>780</v>
      </c>
      <c r="C398" s="12"/>
      <c r="D398" s="5" t="s">
        <v>15</v>
      </c>
      <c r="E398" s="5" t="s">
        <v>16</v>
      </c>
      <c r="F398" s="5" t="s">
        <v>781</v>
      </c>
      <c r="G398" s="5" t="s">
        <v>18</v>
      </c>
    </row>
    <row r="399" spans="1:7" ht="12.5">
      <c r="A399" s="9">
        <v>24733458</v>
      </c>
      <c r="B399" s="10" t="s">
        <v>782</v>
      </c>
      <c r="C399" s="12"/>
      <c r="D399" s="9" t="s">
        <v>15</v>
      </c>
      <c r="E399" s="9" t="s">
        <v>16</v>
      </c>
      <c r="F399" s="9" t="s">
        <v>319</v>
      </c>
      <c r="G399" s="9" t="s">
        <v>41</v>
      </c>
    </row>
    <row r="400" spans="1:7" ht="12.5">
      <c r="A400" s="5">
        <v>32843551</v>
      </c>
      <c r="B400" s="6" t="s">
        <v>783</v>
      </c>
      <c r="C400" s="12"/>
      <c r="D400" s="5" t="s">
        <v>15</v>
      </c>
      <c r="E400" s="5" t="s">
        <v>16</v>
      </c>
      <c r="F400" s="5" t="s">
        <v>784</v>
      </c>
      <c r="G400" s="5" t="s">
        <v>73</v>
      </c>
    </row>
    <row r="401" spans="2:3" ht="12.5">
      <c r="B401" s="15"/>
      <c r="C401" s="15"/>
    </row>
    <row r="402" spans="2:3" ht="12.5">
      <c r="B402" s="15"/>
      <c r="C402" s="15"/>
    </row>
    <row r="403" spans="2:3" ht="12.5">
      <c r="B403" s="15"/>
      <c r="C403" s="15"/>
    </row>
    <row r="404" spans="2:3" ht="12.5">
      <c r="B404" s="15"/>
      <c r="C404" s="15"/>
    </row>
    <row r="405" spans="2:3" ht="12.5">
      <c r="B405" s="15"/>
      <c r="C405" s="15"/>
    </row>
    <row r="406" spans="2:3" ht="12.5">
      <c r="B406" s="15"/>
      <c r="C406" s="15"/>
    </row>
    <row r="407" spans="2:3" ht="12.5">
      <c r="B407" s="15"/>
      <c r="C407" s="15"/>
    </row>
    <row r="408" spans="2:3" ht="12.5">
      <c r="B408" s="15"/>
      <c r="C408" s="15"/>
    </row>
    <row r="409" spans="2:3" ht="12.5">
      <c r="B409" s="15"/>
      <c r="C409" s="15"/>
    </row>
    <row r="410" spans="2:3" ht="12.5">
      <c r="B410" s="15"/>
      <c r="C410" s="15"/>
    </row>
    <row r="411" spans="2:3" ht="12.5">
      <c r="B411" s="15"/>
      <c r="C411" s="15"/>
    </row>
    <row r="412" spans="2:3" ht="12.5">
      <c r="B412" s="15"/>
      <c r="C412" s="15"/>
    </row>
    <row r="413" spans="2:3" ht="12.5">
      <c r="B413" s="15"/>
      <c r="C413" s="15"/>
    </row>
    <row r="414" spans="2:3" ht="12.5">
      <c r="B414" s="15"/>
      <c r="C414" s="15"/>
    </row>
    <row r="415" spans="2:3" ht="12.5">
      <c r="B415" s="15"/>
      <c r="C415" s="15"/>
    </row>
    <row r="416" spans="2:3" ht="12.5">
      <c r="B416" s="15"/>
      <c r="C416" s="15"/>
    </row>
    <row r="417" spans="2:3" ht="12.5">
      <c r="B417" s="15"/>
      <c r="C417" s="15"/>
    </row>
    <row r="418" spans="2:3" ht="12.5">
      <c r="B418" s="15"/>
      <c r="C418" s="15"/>
    </row>
    <row r="419" spans="2:3" ht="12.5">
      <c r="B419" s="15"/>
      <c r="C419" s="15"/>
    </row>
    <row r="420" spans="2:3" ht="12.5">
      <c r="B420" s="15"/>
      <c r="C420" s="15"/>
    </row>
    <row r="421" spans="2:3" ht="12.5">
      <c r="B421" s="15"/>
      <c r="C421" s="15"/>
    </row>
    <row r="422" spans="2:3" ht="12.5">
      <c r="B422" s="15"/>
      <c r="C422" s="15"/>
    </row>
    <row r="423" spans="2:3" ht="12.5">
      <c r="B423" s="15"/>
      <c r="C423" s="15"/>
    </row>
    <row r="424" spans="2:3" ht="12.5">
      <c r="B424" s="15"/>
      <c r="C424" s="15"/>
    </row>
    <row r="425" spans="2:3" ht="12.5">
      <c r="B425" s="15"/>
      <c r="C425" s="15"/>
    </row>
    <row r="426" spans="2:3" ht="12.5">
      <c r="B426" s="15"/>
      <c r="C426" s="15"/>
    </row>
    <row r="427" spans="2:3" ht="12.5">
      <c r="B427" s="15"/>
      <c r="C427" s="15"/>
    </row>
    <row r="428" spans="2:3" ht="12.5">
      <c r="B428" s="15"/>
      <c r="C428" s="15"/>
    </row>
    <row r="429" spans="2:3" ht="12.5">
      <c r="B429" s="15"/>
      <c r="C429" s="15"/>
    </row>
    <row r="430" spans="2:3" ht="12.5">
      <c r="B430" s="15"/>
      <c r="C430" s="15"/>
    </row>
    <row r="431" spans="2:3" ht="12.5">
      <c r="B431" s="15"/>
      <c r="C431" s="15"/>
    </row>
    <row r="432" spans="2:3" ht="12.5">
      <c r="B432" s="15"/>
      <c r="C432" s="15"/>
    </row>
    <row r="433" spans="2:3" ht="12.5">
      <c r="B433" s="15"/>
      <c r="C433" s="15"/>
    </row>
    <row r="434" spans="2:3" ht="12.5">
      <c r="B434" s="15"/>
      <c r="C434" s="15"/>
    </row>
    <row r="435" spans="2:3" ht="12.5">
      <c r="B435" s="15"/>
      <c r="C435" s="15"/>
    </row>
    <row r="436" spans="2:3" ht="12.5">
      <c r="B436" s="15"/>
      <c r="C436" s="15"/>
    </row>
    <row r="437" spans="2:3" ht="12.5">
      <c r="B437" s="15"/>
      <c r="C437" s="15"/>
    </row>
    <row r="438" spans="2:3" ht="12.5">
      <c r="B438" s="15"/>
      <c r="C438" s="15"/>
    </row>
    <row r="439" spans="2:3" ht="12.5">
      <c r="B439" s="15"/>
      <c r="C439" s="15"/>
    </row>
    <row r="440" spans="2:3" ht="12.5">
      <c r="B440" s="15"/>
      <c r="C440" s="15"/>
    </row>
    <row r="441" spans="2:3" ht="12.5">
      <c r="B441" s="15"/>
      <c r="C441" s="15"/>
    </row>
    <row r="442" spans="2:3" ht="12.5">
      <c r="B442" s="15"/>
      <c r="C442" s="15"/>
    </row>
    <row r="443" spans="2:3" ht="12.5">
      <c r="B443" s="15"/>
      <c r="C443" s="15"/>
    </row>
    <row r="444" spans="2:3" ht="12.5">
      <c r="B444" s="15"/>
      <c r="C444" s="15"/>
    </row>
    <row r="445" spans="2:3" ht="12.5">
      <c r="B445" s="15"/>
      <c r="C445" s="15"/>
    </row>
    <row r="446" spans="2:3" ht="12.5">
      <c r="B446" s="15"/>
      <c r="C446" s="15"/>
    </row>
    <row r="447" spans="2:3" ht="12.5">
      <c r="B447" s="15"/>
      <c r="C447" s="15"/>
    </row>
    <row r="448" spans="2:3" ht="12.5">
      <c r="B448" s="15"/>
      <c r="C448" s="15"/>
    </row>
    <row r="449" spans="2:3" ht="12.5">
      <c r="B449" s="15"/>
      <c r="C449" s="15"/>
    </row>
    <row r="450" spans="2:3" ht="12.5">
      <c r="B450" s="15"/>
      <c r="C450" s="15"/>
    </row>
    <row r="451" spans="2:3" ht="12.5">
      <c r="B451" s="15"/>
      <c r="C451" s="15"/>
    </row>
    <row r="452" spans="2:3" ht="12.5">
      <c r="B452" s="15"/>
      <c r="C452" s="15"/>
    </row>
    <row r="453" spans="2:3" ht="12.5">
      <c r="B453" s="15"/>
      <c r="C453" s="15"/>
    </row>
    <row r="454" spans="2:3" ht="12.5">
      <c r="B454" s="15"/>
      <c r="C454" s="15"/>
    </row>
    <row r="455" spans="2:3" ht="12.5">
      <c r="B455" s="15"/>
      <c r="C455" s="15"/>
    </row>
    <row r="456" spans="2:3" ht="12.5">
      <c r="B456" s="15"/>
      <c r="C456" s="15"/>
    </row>
    <row r="457" spans="2:3" ht="12.5">
      <c r="B457" s="15"/>
      <c r="C457" s="15"/>
    </row>
    <row r="458" spans="2:3" ht="12.5">
      <c r="B458" s="15"/>
      <c r="C458" s="15"/>
    </row>
    <row r="459" spans="2:3" ht="12.5">
      <c r="B459" s="15"/>
      <c r="C459" s="15"/>
    </row>
    <row r="460" spans="2:3" ht="12.5">
      <c r="B460" s="15"/>
      <c r="C460" s="15"/>
    </row>
    <row r="461" spans="2:3" ht="12.5">
      <c r="B461" s="15"/>
      <c r="C461" s="15"/>
    </row>
    <row r="462" spans="2:3" ht="12.5">
      <c r="B462" s="15"/>
      <c r="C462" s="15"/>
    </row>
    <row r="463" spans="2:3" ht="12.5">
      <c r="B463" s="15"/>
      <c r="C463" s="15"/>
    </row>
    <row r="464" spans="2:3" ht="12.5">
      <c r="B464" s="15"/>
      <c r="C464" s="15"/>
    </row>
    <row r="465" spans="2:3" ht="12.5">
      <c r="B465" s="15"/>
      <c r="C465" s="15"/>
    </row>
    <row r="466" spans="2:3" ht="12.5">
      <c r="B466" s="15"/>
      <c r="C466" s="15"/>
    </row>
    <row r="467" spans="2:3" ht="12.5">
      <c r="B467" s="15"/>
      <c r="C467" s="15"/>
    </row>
    <row r="468" spans="2:3" ht="12.5">
      <c r="B468" s="15"/>
      <c r="C468" s="15"/>
    </row>
    <row r="469" spans="2:3" ht="12.5">
      <c r="B469" s="15"/>
      <c r="C469" s="15"/>
    </row>
    <row r="470" spans="2:3" ht="12.5">
      <c r="B470" s="15"/>
      <c r="C470" s="15"/>
    </row>
    <row r="471" spans="2:3" ht="12.5">
      <c r="B471" s="15"/>
      <c r="C471" s="15"/>
    </row>
    <row r="472" spans="2:3" ht="12.5">
      <c r="B472" s="15"/>
      <c r="C472" s="15"/>
    </row>
    <row r="473" spans="2:3" ht="12.5">
      <c r="B473" s="15"/>
      <c r="C473" s="15"/>
    </row>
    <row r="474" spans="2:3" ht="12.5">
      <c r="B474" s="15"/>
      <c r="C474" s="15"/>
    </row>
    <row r="475" spans="2:3" ht="12.5">
      <c r="B475" s="15"/>
      <c r="C475" s="15"/>
    </row>
    <row r="476" spans="2:3" ht="12.5">
      <c r="B476" s="15"/>
      <c r="C476" s="15"/>
    </row>
    <row r="477" spans="2:3" ht="12.5">
      <c r="B477" s="15"/>
      <c r="C477" s="15"/>
    </row>
    <row r="478" spans="2:3" ht="12.5">
      <c r="B478" s="15"/>
      <c r="C478" s="15"/>
    </row>
    <row r="479" spans="2:3" ht="12.5">
      <c r="B479" s="15"/>
      <c r="C479" s="15"/>
    </row>
    <row r="480" spans="2:3" ht="12.5">
      <c r="B480" s="15"/>
      <c r="C480" s="15"/>
    </row>
    <row r="481" spans="2:3" ht="12.5">
      <c r="B481" s="15"/>
      <c r="C481" s="15"/>
    </row>
    <row r="482" spans="2:3" ht="12.5">
      <c r="B482" s="15"/>
      <c r="C482" s="15"/>
    </row>
    <row r="483" spans="2:3" ht="12.5">
      <c r="B483" s="15"/>
      <c r="C483" s="15"/>
    </row>
    <row r="484" spans="2:3" ht="12.5">
      <c r="B484" s="15"/>
      <c r="C484" s="15"/>
    </row>
    <row r="485" spans="2:3" ht="12.5">
      <c r="B485" s="15"/>
      <c r="C485" s="15"/>
    </row>
    <row r="486" spans="2:3" ht="12.5">
      <c r="B486" s="15"/>
      <c r="C486" s="15"/>
    </row>
    <row r="487" spans="2:3" ht="12.5">
      <c r="B487" s="15"/>
      <c r="C487" s="15"/>
    </row>
    <row r="488" spans="2:3" ht="12.5">
      <c r="B488" s="15"/>
      <c r="C488" s="15"/>
    </row>
    <row r="489" spans="2:3" ht="12.5">
      <c r="B489" s="15"/>
      <c r="C489" s="15"/>
    </row>
    <row r="490" spans="2:3" ht="12.5">
      <c r="B490" s="15"/>
      <c r="C490" s="15"/>
    </row>
    <row r="491" spans="2:3" ht="12.5">
      <c r="B491" s="15"/>
      <c r="C491" s="15"/>
    </row>
    <row r="492" spans="2:3" ht="12.5">
      <c r="B492" s="15"/>
      <c r="C492" s="15"/>
    </row>
    <row r="493" spans="2:3" ht="12.5">
      <c r="B493" s="15"/>
      <c r="C493" s="15"/>
    </row>
    <row r="494" spans="2:3" ht="12.5">
      <c r="B494" s="15"/>
      <c r="C494" s="15"/>
    </row>
    <row r="495" spans="2:3" ht="12.5">
      <c r="B495" s="15"/>
      <c r="C495" s="15"/>
    </row>
    <row r="496" spans="2:3" ht="12.5">
      <c r="B496" s="15"/>
      <c r="C496" s="15"/>
    </row>
    <row r="497" spans="2:3" ht="12.5">
      <c r="B497" s="15"/>
      <c r="C497" s="15"/>
    </row>
    <row r="498" spans="2:3" ht="12.5">
      <c r="B498" s="15"/>
      <c r="C498" s="15"/>
    </row>
    <row r="499" spans="2:3" ht="12.5">
      <c r="B499" s="15"/>
      <c r="C499" s="15"/>
    </row>
    <row r="500" spans="2:3" ht="12.5">
      <c r="B500" s="15"/>
      <c r="C500" s="15"/>
    </row>
    <row r="501" spans="2:3" ht="12.5">
      <c r="B501" s="15"/>
      <c r="C501" s="15"/>
    </row>
    <row r="502" spans="2:3" ht="12.5">
      <c r="B502" s="15"/>
      <c r="C502" s="15"/>
    </row>
    <row r="503" spans="2:3" ht="12.5">
      <c r="B503" s="15"/>
      <c r="C503" s="15"/>
    </row>
    <row r="504" spans="2:3" ht="12.5">
      <c r="B504" s="15"/>
      <c r="C504" s="15"/>
    </row>
    <row r="505" spans="2:3" ht="12.5">
      <c r="B505" s="15"/>
      <c r="C505" s="15"/>
    </row>
    <row r="506" spans="2:3" ht="12.5">
      <c r="B506" s="15"/>
      <c r="C506" s="15"/>
    </row>
    <row r="507" spans="2:3" ht="12.5">
      <c r="B507" s="15"/>
      <c r="C507" s="15"/>
    </row>
    <row r="508" spans="2:3" ht="12.5">
      <c r="B508" s="15"/>
      <c r="C508" s="15"/>
    </row>
    <row r="509" spans="2:3" ht="12.5">
      <c r="B509" s="15"/>
      <c r="C509" s="15"/>
    </row>
    <row r="510" spans="2:3" ht="12.5">
      <c r="B510" s="15"/>
      <c r="C510" s="15"/>
    </row>
    <row r="511" spans="2:3" ht="12.5">
      <c r="B511" s="15"/>
      <c r="C511" s="15"/>
    </row>
    <row r="512" spans="2:3" ht="12.5">
      <c r="B512" s="15"/>
      <c r="C512" s="15"/>
    </row>
    <row r="513" spans="2:3" ht="12.5">
      <c r="B513" s="15"/>
      <c r="C513" s="15"/>
    </row>
    <row r="514" spans="2:3" ht="12.5">
      <c r="B514" s="15"/>
      <c r="C514" s="15"/>
    </row>
    <row r="515" spans="2:3" ht="12.5">
      <c r="B515" s="15"/>
      <c r="C515" s="15"/>
    </row>
    <row r="516" spans="2:3" ht="12.5">
      <c r="B516" s="15"/>
      <c r="C516" s="15"/>
    </row>
    <row r="517" spans="2:3" ht="12.5">
      <c r="B517" s="15"/>
      <c r="C517" s="15"/>
    </row>
    <row r="518" spans="2:3" ht="12.5">
      <c r="B518" s="15"/>
      <c r="C518" s="15"/>
    </row>
    <row r="519" spans="2:3" ht="12.5">
      <c r="B519" s="15"/>
      <c r="C519" s="15"/>
    </row>
    <row r="520" spans="2:3" ht="12.5">
      <c r="B520" s="15"/>
      <c r="C520" s="15"/>
    </row>
    <row r="521" spans="2:3" ht="12.5">
      <c r="B521" s="15"/>
      <c r="C521" s="15"/>
    </row>
    <row r="522" spans="2:3" ht="12.5">
      <c r="B522" s="15"/>
      <c r="C522" s="15"/>
    </row>
    <row r="523" spans="2:3" ht="12.5">
      <c r="B523" s="15"/>
      <c r="C523" s="15"/>
    </row>
    <row r="524" spans="2:3" ht="12.5">
      <c r="B524" s="15"/>
      <c r="C524" s="15"/>
    </row>
    <row r="525" spans="2:3" ht="12.5">
      <c r="B525" s="15"/>
      <c r="C525" s="15"/>
    </row>
    <row r="526" spans="2:3" ht="12.5">
      <c r="B526" s="15"/>
      <c r="C526" s="15"/>
    </row>
    <row r="527" spans="2:3" ht="12.5">
      <c r="B527" s="15"/>
      <c r="C527" s="15"/>
    </row>
    <row r="528" spans="2:3" ht="12.5">
      <c r="B528" s="15"/>
      <c r="C528" s="15"/>
    </row>
    <row r="529" spans="2:3" ht="12.5">
      <c r="B529" s="15"/>
      <c r="C529" s="15"/>
    </row>
    <row r="530" spans="2:3" ht="12.5">
      <c r="B530" s="15"/>
      <c r="C530" s="15"/>
    </row>
    <row r="531" spans="2:3" ht="12.5">
      <c r="B531" s="15"/>
      <c r="C531" s="15"/>
    </row>
    <row r="532" spans="2:3" ht="12.5">
      <c r="B532" s="15"/>
      <c r="C532" s="15"/>
    </row>
    <row r="533" spans="2:3" ht="12.5">
      <c r="B533" s="15"/>
      <c r="C533" s="15"/>
    </row>
    <row r="534" spans="2:3" ht="12.5">
      <c r="B534" s="15"/>
      <c r="C534" s="15"/>
    </row>
    <row r="535" spans="2:3" ht="12.5">
      <c r="B535" s="15"/>
      <c r="C535" s="15"/>
    </row>
    <row r="536" spans="2:3" ht="12.5">
      <c r="B536" s="15"/>
      <c r="C536" s="15"/>
    </row>
    <row r="537" spans="2:3" ht="12.5">
      <c r="B537" s="15"/>
      <c r="C537" s="15"/>
    </row>
    <row r="538" spans="2:3" ht="12.5">
      <c r="B538" s="15"/>
      <c r="C538" s="15"/>
    </row>
    <row r="539" spans="2:3" ht="12.5">
      <c r="B539" s="15"/>
      <c r="C539" s="15"/>
    </row>
    <row r="540" spans="2:3" ht="12.5">
      <c r="B540" s="15"/>
      <c r="C540" s="15"/>
    </row>
    <row r="541" spans="2:3" ht="12.5">
      <c r="B541" s="15"/>
      <c r="C541" s="15"/>
    </row>
    <row r="542" spans="2:3" ht="12.5">
      <c r="B542" s="15"/>
      <c r="C542" s="15"/>
    </row>
    <row r="543" spans="2:3" ht="12.5">
      <c r="B543" s="15"/>
      <c r="C543" s="15"/>
    </row>
    <row r="544" spans="2:3" ht="12.5">
      <c r="B544" s="15"/>
      <c r="C544" s="15"/>
    </row>
    <row r="545" spans="2:3" ht="12.5">
      <c r="B545" s="15"/>
      <c r="C545" s="15"/>
    </row>
    <row r="546" spans="2:3" ht="12.5">
      <c r="B546" s="15"/>
      <c r="C546" s="15"/>
    </row>
    <row r="547" spans="2:3" ht="12.5">
      <c r="B547" s="15"/>
      <c r="C547" s="15"/>
    </row>
    <row r="548" spans="2:3" ht="12.5">
      <c r="B548" s="15"/>
      <c r="C548" s="15"/>
    </row>
    <row r="549" spans="2:3" ht="12.5">
      <c r="B549" s="15"/>
      <c r="C549" s="15"/>
    </row>
    <row r="550" spans="2:3" ht="12.5">
      <c r="B550" s="15"/>
      <c r="C550" s="15"/>
    </row>
    <row r="551" spans="2:3" ht="12.5">
      <c r="B551" s="15"/>
      <c r="C551" s="15"/>
    </row>
    <row r="552" spans="2:3" ht="12.5">
      <c r="B552" s="15"/>
      <c r="C552" s="15"/>
    </row>
    <row r="553" spans="2:3" ht="12.5">
      <c r="B553" s="15"/>
      <c r="C553" s="15"/>
    </row>
    <row r="554" spans="2:3" ht="12.5">
      <c r="B554" s="15"/>
      <c r="C554" s="15"/>
    </row>
    <row r="555" spans="2:3" ht="12.5">
      <c r="B555" s="15"/>
      <c r="C555" s="15"/>
    </row>
    <row r="556" spans="2:3" ht="12.5">
      <c r="B556" s="15"/>
      <c r="C556" s="15"/>
    </row>
    <row r="557" spans="2:3" ht="12.5">
      <c r="B557" s="15"/>
      <c r="C557" s="15"/>
    </row>
    <row r="558" spans="2:3" ht="12.5">
      <c r="B558" s="15"/>
      <c r="C558" s="15"/>
    </row>
    <row r="559" spans="2:3" ht="12.5">
      <c r="B559" s="15"/>
      <c r="C559" s="15"/>
    </row>
    <row r="560" spans="2:3" ht="12.5">
      <c r="B560" s="15"/>
      <c r="C560" s="15"/>
    </row>
    <row r="561" spans="2:3" ht="12.5">
      <c r="B561" s="15"/>
      <c r="C561" s="15"/>
    </row>
    <row r="562" spans="2:3" ht="12.5">
      <c r="B562" s="15"/>
      <c r="C562" s="15"/>
    </row>
    <row r="563" spans="2:3" ht="12.5">
      <c r="B563" s="15"/>
      <c r="C563" s="15"/>
    </row>
    <row r="564" spans="2:3" ht="12.5">
      <c r="B564" s="15"/>
      <c r="C564" s="15"/>
    </row>
    <row r="565" spans="2:3" ht="12.5">
      <c r="B565" s="15"/>
      <c r="C565" s="15"/>
    </row>
    <row r="566" spans="2:3" ht="12.5">
      <c r="B566" s="15"/>
      <c r="C566" s="15"/>
    </row>
    <row r="567" spans="2:3" ht="12.5">
      <c r="B567" s="15"/>
      <c r="C567" s="15"/>
    </row>
    <row r="568" spans="2:3" ht="12.5">
      <c r="B568" s="15"/>
      <c r="C568" s="15"/>
    </row>
    <row r="569" spans="2:3" ht="12.5">
      <c r="B569" s="15"/>
      <c r="C569" s="15"/>
    </row>
    <row r="570" spans="2:3" ht="12.5">
      <c r="B570" s="15"/>
      <c r="C570" s="15"/>
    </row>
    <row r="571" spans="2:3" ht="12.5">
      <c r="B571" s="15"/>
      <c r="C571" s="15"/>
    </row>
    <row r="572" spans="2:3" ht="12.5">
      <c r="B572" s="15"/>
      <c r="C572" s="15"/>
    </row>
    <row r="573" spans="2:3" ht="12.5">
      <c r="B573" s="15"/>
      <c r="C573" s="15"/>
    </row>
    <row r="574" spans="2:3" ht="12.5">
      <c r="B574" s="15"/>
      <c r="C574" s="15"/>
    </row>
    <row r="575" spans="2:3" ht="12.5">
      <c r="B575" s="15"/>
      <c r="C575" s="15"/>
    </row>
    <row r="576" spans="2:3" ht="12.5">
      <c r="B576" s="15"/>
      <c r="C576" s="15"/>
    </row>
    <row r="577" spans="2:3" ht="12.5">
      <c r="B577" s="15"/>
      <c r="C577" s="15"/>
    </row>
    <row r="578" spans="2:3" ht="12.5">
      <c r="B578" s="15"/>
      <c r="C578" s="15"/>
    </row>
    <row r="579" spans="2:3" ht="12.5">
      <c r="B579" s="15"/>
      <c r="C579" s="15"/>
    </row>
    <row r="580" spans="2:3" ht="12.5">
      <c r="B580" s="15"/>
      <c r="C580" s="15"/>
    </row>
    <row r="581" spans="2:3" ht="12.5">
      <c r="B581" s="15"/>
      <c r="C581" s="15"/>
    </row>
    <row r="582" spans="2:3" ht="12.5">
      <c r="B582" s="15"/>
      <c r="C582" s="15"/>
    </row>
    <row r="583" spans="2:3" ht="12.5">
      <c r="B583" s="15"/>
      <c r="C583" s="15"/>
    </row>
    <row r="584" spans="2:3" ht="12.5">
      <c r="B584" s="15"/>
      <c r="C584" s="15"/>
    </row>
    <row r="585" spans="2:3" ht="12.5">
      <c r="B585" s="15"/>
      <c r="C585" s="15"/>
    </row>
    <row r="586" spans="2:3" ht="12.5">
      <c r="B586" s="15"/>
      <c r="C586" s="15"/>
    </row>
    <row r="587" spans="2:3" ht="12.5">
      <c r="B587" s="15"/>
      <c r="C587" s="15"/>
    </row>
    <row r="588" spans="2:3" ht="12.5">
      <c r="B588" s="15"/>
      <c r="C588" s="15"/>
    </row>
    <row r="589" spans="2:3" ht="12.5">
      <c r="B589" s="15"/>
      <c r="C589" s="15"/>
    </row>
    <row r="590" spans="2:3" ht="12.5">
      <c r="B590" s="15"/>
      <c r="C590" s="15"/>
    </row>
    <row r="591" spans="2:3" ht="12.5">
      <c r="B591" s="15"/>
      <c r="C591" s="15"/>
    </row>
    <row r="592" spans="2:3" ht="12.5">
      <c r="B592" s="15"/>
      <c r="C592" s="15"/>
    </row>
    <row r="593" spans="2:3" ht="12.5">
      <c r="B593" s="15"/>
      <c r="C593" s="15"/>
    </row>
    <row r="594" spans="2:3" ht="12.5">
      <c r="B594" s="15"/>
      <c r="C594" s="15"/>
    </row>
    <row r="595" spans="2:3" ht="12.5">
      <c r="B595" s="15"/>
      <c r="C595" s="15"/>
    </row>
    <row r="596" spans="2:3" ht="12.5">
      <c r="B596" s="15"/>
      <c r="C596" s="15"/>
    </row>
    <row r="597" spans="2:3" ht="12.5">
      <c r="B597" s="15"/>
      <c r="C597" s="15"/>
    </row>
    <row r="598" spans="2:3" ht="12.5">
      <c r="B598" s="15"/>
      <c r="C598" s="15"/>
    </row>
    <row r="599" spans="2:3" ht="12.5">
      <c r="B599" s="15"/>
      <c r="C599" s="15"/>
    </row>
    <row r="600" spans="2:3" ht="12.5">
      <c r="B600" s="15"/>
      <c r="C600" s="15"/>
    </row>
    <row r="601" spans="2:3" ht="12.5">
      <c r="B601" s="15"/>
      <c r="C601" s="15"/>
    </row>
    <row r="602" spans="2:3" ht="12.5">
      <c r="B602" s="15"/>
      <c r="C602" s="15"/>
    </row>
    <row r="603" spans="2:3" ht="12.5">
      <c r="B603" s="15"/>
      <c r="C603" s="15"/>
    </row>
    <row r="604" spans="2:3" ht="12.5">
      <c r="B604" s="15"/>
      <c r="C604" s="15"/>
    </row>
    <row r="605" spans="2:3" ht="12.5">
      <c r="B605" s="15"/>
      <c r="C605" s="15"/>
    </row>
    <row r="606" spans="2:3" ht="12.5">
      <c r="B606" s="15"/>
      <c r="C606" s="15"/>
    </row>
    <row r="607" spans="2:3" ht="12.5">
      <c r="B607" s="15"/>
      <c r="C607" s="15"/>
    </row>
    <row r="608" spans="2:3" ht="12.5">
      <c r="B608" s="15"/>
      <c r="C608" s="15"/>
    </row>
    <row r="609" spans="2:3" ht="12.5">
      <c r="B609" s="15"/>
      <c r="C609" s="15"/>
    </row>
    <row r="610" spans="2:3" ht="12.5">
      <c r="B610" s="15"/>
      <c r="C610" s="15"/>
    </row>
    <row r="611" spans="2:3" ht="12.5">
      <c r="B611" s="15"/>
      <c r="C611" s="15"/>
    </row>
    <row r="612" spans="2:3" ht="12.5">
      <c r="B612" s="15"/>
      <c r="C612" s="15"/>
    </row>
    <row r="613" spans="2:3" ht="12.5">
      <c r="B613" s="15"/>
      <c r="C613" s="15"/>
    </row>
    <row r="614" spans="2:3" ht="12.5">
      <c r="B614" s="15"/>
      <c r="C614" s="15"/>
    </row>
    <row r="615" spans="2:3" ht="12.5">
      <c r="B615" s="15"/>
      <c r="C615" s="15"/>
    </row>
    <row r="616" spans="2:3" ht="12.5">
      <c r="B616" s="15"/>
      <c r="C616" s="15"/>
    </row>
    <row r="617" spans="2:3" ht="12.5">
      <c r="B617" s="15"/>
      <c r="C617" s="15"/>
    </row>
    <row r="618" spans="2:3" ht="12.5">
      <c r="B618" s="15"/>
      <c r="C618" s="15"/>
    </row>
    <row r="619" spans="2:3" ht="12.5">
      <c r="B619" s="15"/>
      <c r="C619" s="15"/>
    </row>
    <row r="620" spans="2:3" ht="12.5">
      <c r="B620" s="15"/>
      <c r="C620" s="15"/>
    </row>
    <row r="621" spans="2:3" ht="12.5">
      <c r="B621" s="15"/>
      <c r="C621" s="15"/>
    </row>
    <row r="622" spans="2:3" ht="12.5">
      <c r="B622" s="15"/>
      <c r="C622" s="15"/>
    </row>
    <row r="623" spans="2:3" ht="12.5">
      <c r="B623" s="15"/>
      <c r="C623" s="15"/>
    </row>
    <row r="624" spans="2:3" ht="12.5">
      <c r="B624" s="15"/>
      <c r="C624" s="15"/>
    </row>
    <row r="625" spans="2:3" ht="12.5">
      <c r="B625" s="15"/>
      <c r="C625" s="15"/>
    </row>
    <row r="626" spans="2:3" ht="12.5">
      <c r="B626" s="15"/>
      <c r="C626" s="15"/>
    </row>
    <row r="627" spans="2:3" ht="12.5">
      <c r="B627" s="15"/>
      <c r="C627" s="15"/>
    </row>
    <row r="628" spans="2:3" ht="12.5">
      <c r="B628" s="15"/>
      <c r="C628" s="15"/>
    </row>
    <row r="629" spans="2:3" ht="12.5">
      <c r="B629" s="15"/>
      <c r="C629" s="15"/>
    </row>
    <row r="630" spans="2:3" ht="12.5">
      <c r="B630" s="15"/>
      <c r="C630" s="15"/>
    </row>
    <row r="631" spans="2:3" ht="12.5">
      <c r="B631" s="15"/>
      <c r="C631" s="15"/>
    </row>
    <row r="632" spans="2:3" ht="12.5">
      <c r="B632" s="15"/>
      <c r="C632" s="15"/>
    </row>
    <row r="633" spans="2:3" ht="12.5">
      <c r="B633" s="15"/>
      <c r="C633" s="15"/>
    </row>
    <row r="634" spans="2:3" ht="12.5">
      <c r="B634" s="15"/>
      <c r="C634" s="15"/>
    </row>
    <row r="635" spans="2:3" ht="12.5">
      <c r="B635" s="15"/>
      <c r="C635" s="15"/>
    </row>
    <row r="636" spans="2:3" ht="12.5">
      <c r="B636" s="15"/>
      <c r="C636" s="15"/>
    </row>
    <row r="637" spans="2:3" ht="12.5">
      <c r="B637" s="15"/>
      <c r="C637" s="15"/>
    </row>
    <row r="638" spans="2:3" ht="12.5">
      <c r="B638" s="15"/>
      <c r="C638" s="15"/>
    </row>
    <row r="639" spans="2:3" ht="12.5">
      <c r="B639" s="15"/>
      <c r="C639" s="15"/>
    </row>
    <row r="640" spans="2:3" ht="12.5">
      <c r="B640" s="15"/>
      <c r="C640" s="15"/>
    </row>
    <row r="641" spans="2:3" ht="12.5">
      <c r="B641" s="15"/>
      <c r="C641" s="15"/>
    </row>
    <row r="642" spans="2:3" ht="12.5">
      <c r="B642" s="15"/>
      <c r="C642" s="15"/>
    </row>
    <row r="643" spans="2:3" ht="12.5">
      <c r="B643" s="15"/>
      <c r="C643" s="15"/>
    </row>
    <row r="644" spans="2:3" ht="12.5">
      <c r="B644" s="15"/>
      <c r="C644" s="15"/>
    </row>
    <row r="645" spans="2:3" ht="12.5">
      <c r="B645" s="15"/>
      <c r="C645" s="15"/>
    </row>
    <row r="646" spans="2:3" ht="12.5">
      <c r="B646" s="15"/>
      <c r="C646" s="15"/>
    </row>
    <row r="647" spans="2:3" ht="12.5">
      <c r="B647" s="15"/>
      <c r="C647" s="15"/>
    </row>
    <row r="648" spans="2:3" ht="12.5">
      <c r="B648" s="15"/>
      <c r="C648" s="15"/>
    </row>
    <row r="649" spans="2:3" ht="12.5">
      <c r="B649" s="15"/>
      <c r="C649" s="15"/>
    </row>
    <row r="650" spans="2:3" ht="12.5">
      <c r="B650" s="15"/>
      <c r="C650" s="15"/>
    </row>
    <row r="651" spans="2:3" ht="12.5">
      <c r="B651" s="15"/>
      <c r="C651" s="15"/>
    </row>
    <row r="652" spans="2:3" ht="12.5">
      <c r="B652" s="15"/>
      <c r="C652" s="15"/>
    </row>
    <row r="653" spans="2:3" ht="12.5">
      <c r="B653" s="15"/>
      <c r="C653" s="15"/>
    </row>
    <row r="654" spans="2:3" ht="12.5">
      <c r="B654" s="15"/>
      <c r="C654" s="15"/>
    </row>
    <row r="655" spans="2:3" ht="12.5">
      <c r="B655" s="15"/>
      <c r="C655" s="15"/>
    </row>
    <row r="656" spans="2:3" ht="12.5">
      <c r="B656" s="15"/>
      <c r="C656" s="15"/>
    </row>
    <row r="657" spans="2:3" ht="12.5">
      <c r="B657" s="15"/>
      <c r="C657" s="15"/>
    </row>
    <row r="658" spans="2:3" ht="12.5">
      <c r="B658" s="15"/>
      <c r="C658" s="15"/>
    </row>
    <row r="659" spans="2:3" ht="12.5">
      <c r="B659" s="15"/>
      <c r="C659" s="15"/>
    </row>
    <row r="660" spans="2:3" ht="12.5">
      <c r="B660" s="15"/>
      <c r="C660" s="15"/>
    </row>
    <row r="661" spans="2:3" ht="12.5">
      <c r="B661" s="15"/>
      <c r="C661" s="15"/>
    </row>
    <row r="662" spans="2:3" ht="12.5">
      <c r="B662" s="15"/>
      <c r="C662" s="15"/>
    </row>
    <row r="663" spans="2:3" ht="12.5">
      <c r="B663" s="15"/>
      <c r="C663" s="15"/>
    </row>
    <row r="664" spans="2:3" ht="12.5">
      <c r="B664" s="15"/>
      <c r="C664" s="15"/>
    </row>
    <row r="665" spans="2:3" ht="12.5">
      <c r="B665" s="15"/>
      <c r="C665" s="15"/>
    </row>
    <row r="666" spans="2:3" ht="12.5">
      <c r="B666" s="15"/>
      <c r="C666" s="15"/>
    </row>
    <row r="667" spans="2:3" ht="12.5">
      <c r="B667" s="15"/>
      <c r="C667" s="15"/>
    </row>
    <row r="668" spans="2:3" ht="12.5">
      <c r="B668" s="15"/>
      <c r="C668" s="15"/>
    </row>
    <row r="669" spans="2:3" ht="12.5">
      <c r="B669" s="15"/>
      <c r="C669" s="15"/>
    </row>
    <row r="670" spans="2:3" ht="12.5">
      <c r="B670" s="15"/>
      <c r="C670" s="15"/>
    </row>
    <row r="671" spans="2:3" ht="12.5">
      <c r="B671" s="15"/>
      <c r="C671" s="15"/>
    </row>
    <row r="672" spans="2:3" ht="12.5">
      <c r="B672" s="15"/>
      <c r="C672" s="15"/>
    </row>
    <row r="673" spans="2:3" ht="12.5">
      <c r="B673" s="15"/>
      <c r="C673" s="15"/>
    </row>
    <row r="674" spans="2:3" ht="12.5">
      <c r="B674" s="15"/>
      <c r="C674" s="15"/>
    </row>
    <row r="675" spans="2:3" ht="12.5">
      <c r="B675" s="15"/>
      <c r="C675" s="15"/>
    </row>
    <row r="676" spans="2:3" ht="12.5">
      <c r="B676" s="15"/>
      <c r="C676" s="15"/>
    </row>
    <row r="677" spans="2:3" ht="12.5">
      <c r="B677" s="15"/>
      <c r="C677" s="15"/>
    </row>
    <row r="678" spans="2:3" ht="12.5">
      <c r="B678" s="15"/>
      <c r="C678" s="15"/>
    </row>
    <row r="679" spans="2:3" ht="12.5">
      <c r="B679" s="15"/>
      <c r="C679" s="15"/>
    </row>
    <row r="680" spans="2:3" ht="12.5">
      <c r="B680" s="15"/>
      <c r="C680" s="15"/>
    </row>
    <row r="681" spans="2:3" ht="12.5">
      <c r="B681" s="15"/>
      <c r="C681" s="15"/>
    </row>
    <row r="682" spans="2:3" ht="12.5">
      <c r="B682" s="15"/>
      <c r="C682" s="15"/>
    </row>
    <row r="683" spans="2:3" ht="12.5">
      <c r="B683" s="15"/>
      <c r="C683" s="15"/>
    </row>
    <row r="684" spans="2:3" ht="12.5">
      <c r="B684" s="15"/>
      <c r="C684" s="15"/>
    </row>
    <row r="685" spans="2:3" ht="12.5">
      <c r="B685" s="15"/>
      <c r="C685" s="15"/>
    </row>
    <row r="686" spans="2:3" ht="12.5">
      <c r="B686" s="15"/>
      <c r="C686" s="15"/>
    </row>
    <row r="687" spans="2:3" ht="12.5">
      <c r="B687" s="15"/>
      <c r="C687" s="15"/>
    </row>
    <row r="688" spans="2:3" ht="12.5">
      <c r="B688" s="15"/>
      <c r="C688" s="15"/>
    </row>
    <row r="689" spans="2:3" ht="12.5">
      <c r="B689" s="15"/>
      <c r="C689" s="15"/>
    </row>
    <row r="690" spans="2:3" ht="12.5">
      <c r="B690" s="15"/>
      <c r="C690" s="15"/>
    </row>
    <row r="691" spans="2:3" ht="12.5">
      <c r="B691" s="15"/>
      <c r="C691" s="15"/>
    </row>
    <row r="692" spans="2:3" ht="12.5">
      <c r="B692" s="15"/>
      <c r="C692" s="15"/>
    </row>
    <row r="693" spans="2:3" ht="12.5">
      <c r="B693" s="15"/>
      <c r="C693" s="15"/>
    </row>
    <row r="694" spans="2:3" ht="12.5">
      <c r="B694" s="15"/>
      <c r="C694" s="15"/>
    </row>
    <row r="695" spans="2:3" ht="12.5">
      <c r="B695" s="15"/>
      <c r="C695" s="15"/>
    </row>
    <row r="696" spans="2:3" ht="12.5">
      <c r="B696" s="15"/>
      <c r="C696" s="15"/>
    </row>
    <row r="697" spans="2:3" ht="12.5">
      <c r="B697" s="15"/>
      <c r="C697" s="15"/>
    </row>
    <row r="698" spans="2:3" ht="12.5">
      <c r="B698" s="15"/>
      <c r="C698" s="15"/>
    </row>
    <row r="699" spans="2:3" ht="12.5">
      <c r="B699" s="15"/>
      <c r="C699" s="15"/>
    </row>
    <row r="700" spans="2:3" ht="12.5">
      <c r="B700" s="15"/>
      <c r="C700" s="15"/>
    </row>
    <row r="701" spans="2:3" ht="12.5">
      <c r="B701" s="15"/>
      <c r="C701" s="15"/>
    </row>
    <row r="702" spans="2:3" ht="12.5">
      <c r="B702" s="15"/>
      <c r="C702" s="15"/>
    </row>
    <row r="703" spans="2:3" ht="12.5">
      <c r="B703" s="15"/>
      <c r="C703" s="15"/>
    </row>
    <row r="704" spans="2:3" ht="12.5">
      <c r="B704" s="15"/>
      <c r="C704" s="15"/>
    </row>
    <row r="705" spans="2:3" ht="12.5">
      <c r="B705" s="15"/>
      <c r="C705" s="15"/>
    </row>
    <row r="706" spans="2:3" ht="12.5">
      <c r="B706" s="15"/>
      <c r="C706" s="15"/>
    </row>
    <row r="707" spans="2:3" ht="12.5">
      <c r="B707" s="15"/>
      <c r="C707" s="15"/>
    </row>
    <row r="708" spans="2:3" ht="12.5">
      <c r="B708" s="15"/>
      <c r="C708" s="15"/>
    </row>
    <row r="709" spans="2:3" ht="12.5">
      <c r="B709" s="15"/>
      <c r="C709" s="15"/>
    </row>
    <row r="710" spans="2:3" ht="12.5">
      <c r="B710" s="15"/>
      <c r="C710" s="15"/>
    </row>
    <row r="711" spans="2:3" ht="12.5">
      <c r="B711" s="15"/>
      <c r="C711" s="15"/>
    </row>
    <row r="712" spans="2:3" ht="12.5">
      <c r="B712" s="15"/>
      <c r="C712" s="15"/>
    </row>
    <row r="713" spans="2:3" ht="12.5">
      <c r="B713" s="15"/>
      <c r="C713" s="15"/>
    </row>
    <row r="714" spans="2:3" ht="12.5">
      <c r="B714" s="15"/>
      <c r="C714" s="15"/>
    </row>
    <row r="715" spans="2:3" ht="12.5">
      <c r="B715" s="15"/>
      <c r="C715" s="15"/>
    </row>
    <row r="716" spans="2:3" ht="12.5">
      <c r="B716" s="15"/>
      <c r="C716" s="15"/>
    </row>
    <row r="717" spans="2:3" ht="12.5">
      <c r="B717" s="15"/>
      <c r="C717" s="15"/>
    </row>
    <row r="718" spans="2:3" ht="12.5">
      <c r="B718" s="15"/>
      <c r="C718" s="15"/>
    </row>
    <row r="719" spans="2:3" ht="12.5">
      <c r="B719" s="15"/>
      <c r="C719" s="15"/>
    </row>
    <row r="720" spans="2:3" ht="12.5">
      <c r="B720" s="15"/>
      <c r="C720" s="15"/>
    </row>
    <row r="721" spans="2:3" ht="12.5">
      <c r="B721" s="15"/>
      <c r="C721" s="15"/>
    </row>
    <row r="722" spans="2:3" ht="12.5">
      <c r="B722" s="15"/>
      <c r="C722" s="15"/>
    </row>
    <row r="723" spans="2:3" ht="12.5">
      <c r="B723" s="15"/>
      <c r="C723" s="15"/>
    </row>
    <row r="724" spans="2:3" ht="12.5">
      <c r="B724" s="15"/>
      <c r="C724" s="15"/>
    </row>
    <row r="725" spans="2:3" ht="12.5">
      <c r="B725" s="15"/>
      <c r="C725" s="15"/>
    </row>
    <row r="726" spans="2:3" ht="12.5">
      <c r="B726" s="15"/>
      <c r="C726" s="15"/>
    </row>
    <row r="727" spans="2:3" ht="12.5">
      <c r="B727" s="15"/>
      <c r="C727" s="15"/>
    </row>
    <row r="728" spans="2:3" ht="12.5">
      <c r="B728" s="15"/>
      <c r="C728" s="15"/>
    </row>
    <row r="729" spans="2:3" ht="12.5">
      <c r="B729" s="15"/>
      <c r="C729" s="15"/>
    </row>
    <row r="730" spans="2:3" ht="12.5">
      <c r="B730" s="15"/>
      <c r="C730" s="15"/>
    </row>
    <row r="731" spans="2:3" ht="12.5">
      <c r="B731" s="15"/>
      <c r="C731" s="15"/>
    </row>
    <row r="732" spans="2:3" ht="12.5">
      <c r="B732" s="15"/>
      <c r="C732" s="15"/>
    </row>
    <row r="733" spans="2:3" ht="12.5">
      <c r="B733" s="15"/>
      <c r="C733" s="15"/>
    </row>
    <row r="734" spans="2:3" ht="12.5">
      <c r="B734" s="15"/>
      <c r="C734" s="15"/>
    </row>
    <row r="735" spans="2:3" ht="12.5">
      <c r="B735" s="15"/>
      <c r="C735" s="15"/>
    </row>
    <row r="736" spans="2:3" ht="12.5">
      <c r="B736" s="15"/>
      <c r="C736" s="15"/>
    </row>
    <row r="737" spans="2:3" ht="12.5">
      <c r="B737" s="15"/>
      <c r="C737" s="15"/>
    </row>
    <row r="738" spans="2:3" ht="12.5">
      <c r="B738" s="15"/>
      <c r="C738" s="15"/>
    </row>
    <row r="739" spans="2:3" ht="12.5">
      <c r="B739" s="15"/>
      <c r="C739" s="15"/>
    </row>
    <row r="740" spans="2:3" ht="12.5">
      <c r="B740" s="15"/>
      <c r="C740" s="15"/>
    </row>
    <row r="741" spans="2:3" ht="12.5">
      <c r="B741" s="15"/>
      <c r="C741" s="15"/>
    </row>
    <row r="742" spans="2:3" ht="12.5">
      <c r="B742" s="15"/>
      <c r="C742" s="15"/>
    </row>
    <row r="743" spans="2:3" ht="12.5">
      <c r="B743" s="15"/>
      <c r="C743" s="15"/>
    </row>
    <row r="744" spans="2:3" ht="12.5">
      <c r="B744" s="15"/>
      <c r="C744" s="15"/>
    </row>
    <row r="745" spans="2:3" ht="12.5">
      <c r="B745" s="15"/>
      <c r="C745" s="15"/>
    </row>
    <row r="746" spans="2:3" ht="12.5">
      <c r="B746" s="15"/>
      <c r="C746" s="15"/>
    </row>
    <row r="747" spans="2:3" ht="12.5">
      <c r="B747" s="15"/>
      <c r="C747" s="15"/>
    </row>
    <row r="748" spans="2:3" ht="12.5">
      <c r="B748" s="15"/>
      <c r="C748" s="15"/>
    </row>
    <row r="749" spans="2:3" ht="12.5">
      <c r="B749" s="15"/>
      <c r="C749" s="15"/>
    </row>
    <row r="750" spans="2:3" ht="12.5">
      <c r="B750" s="15"/>
      <c r="C750" s="15"/>
    </row>
    <row r="751" spans="2:3" ht="12.5">
      <c r="B751" s="15"/>
      <c r="C751" s="15"/>
    </row>
    <row r="752" spans="2:3" ht="12.5">
      <c r="B752" s="15"/>
      <c r="C752" s="15"/>
    </row>
    <row r="753" spans="2:3" ht="12.5">
      <c r="B753" s="15"/>
      <c r="C753" s="15"/>
    </row>
    <row r="754" spans="2:3" ht="12.5">
      <c r="B754" s="15"/>
      <c r="C754" s="15"/>
    </row>
    <row r="755" spans="2:3" ht="12.5">
      <c r="B755" s="15"/>
      <c r="C755" s="15"/>
    </row>
    <row r="756" spans="2:3" ht="12.5">
      <c r="B756" s="15"/>
      <c r="C756" s="15"/>
    </row>
    <row r="757" spans="2:3" ht="12.5">
      <c r="B757" s="15"/>
      <c r="C757" s="15"/>
    </row>
    <row r="758" spans="2:3" ht="12.5">
      <c r="B758" s="15"/>
      <c r="C758" s="15"/>
    </row>
    <row r="759" spans="2:3" ht="12.5">
      <c r="B759" s="15"/>
      <c r="C759" s="15"/>
    </row>
    <row r="760" spans="2:3" ht="12.5">
      <c r="B760" s="15"/>
      <c r="C760" s="15"/>
    </row>
    <row r="761" spans="2:3" ht="12.5">
      <c r="B761" s="15"/>
      <c r="C761" s="15"/>
    </row>
    <row r="762" spans="2:3" ht="12.5">
      <c r="B762" s="15"/>
      <c r="C762" s="15"/>
    </row>
    <row r="763" spans="2:3" ht="12.5">
      <c r="B763" s="15"/>
      <c r="C763" s="15"/>
    </row>
    <row r="764" spans="2:3" ht="12.5">
      <c r="B764" s="15"/>
      <c r="C764" s="15"/>
    </row>
    <row r="765" spans="2:3" ht="12.5">
      <c r="B765" s="15"/>
      <c r="C765" s="15"/>
    </row>
    <row r="766" spans="2:3" ht="12.5">
      <c r="B766" s="15"/>
      <c r="C766" s="15"/>
    </row>
    <row r="767" spans="2:3" ht="12.5">
      <c r="B767" s="15"/>
      <c r="C767" s="15"/>
    </row>
    <row r="768" spans="2:3" ht="12.5">
      <c r="B768" s="15"/>
      <c r="C768" s="15"/>
    </row>
    <row r="769" spans="2:3" ht="12.5">
      <c r="B769" s="15"/>
      <c r="C769" s="15"/>
    </row>
    <row r="770" spans="2:3" ht="12.5">
      <c r="B770" s="15"/>
      <c r="C770" s="15"/>
    </row>
    <row r="771" spans="2:3" ht="12.5">
      <c r="B771" s="15"/>
      <c r="C771" s="15"/>
    </row>
    <row r="772" spans="2:3" ht="12.5">
      <c r="B772" s="15"/>
      <c r="C772" s="15"/>
    </row>
    <row r="773" spans="2:3" ht="12.5">
      <c r="B773" s="15"/>
      <c r="C773" s="15"/>
    </row>
    <row r="774" spans="2:3" ht="12.5">
      <c r="B774" s="15"/>
      <c r="C774" s="15"/>
    </row>
    <row r="775" spans="2:3" ht="12.5">
      <c r="B775" s="15"/>
      <c r="C775" s="15"/>
    </row>
    <row r="776" spans="2:3" ht="12.5">
      <c r="B776" s="15"/>
      <c r="C776" s="15"/>
    </row>
    <row r="777" spans="2:3" ht="12.5">
      <c r="B777" s="15"/>
      <c r="C777" s="15"/>
    </row>
    <row r="778" spans="2:3" ht="12.5">
      <c r="B778" s="15"/>
      <c r="C778" s="15"/>
    </row>
    <row r="779" spans="2:3" ht="12.5">
      <c r="B779" s="15"/>
      <c r="C779" s="15"/>
    </row>
    <row r="780" spans="2:3" ht="12.5">
      <c r="B780" s="15"/>
      <c r="C780" s="15"/>
    </row>
    <row r="781" spans="2:3" ht="12.5">
      <c r="B781" s="15"/>
      <c r="C781" s="15"/>
    </row>
    <row r="782" spans="2:3" ht="12.5">
      <c r="B782" s="15"/>
      <c r="C782" s="15"/>
    </row>
    <row r="783" spans="2:3" ht="12.5">
      <c r="B783" s="15"/>
      <c r="C783" s="15"/>
    </row>
    <row r="784" spans="2:3" ht="12.5">
      <c r="B784" s="15"/>
      <c r="C784" s="15"/>
    </row>
    <row r="785" spans="2:3" ht="12.5">
      <c r="B785" s="15"/>
      <c r="C785" s="15"/>
    </row>
    <row r="786" spans="2:3" ht="12.5">
      <c r="B786" s="15"/>
      <c r="C786" s="15"/>
    </row>
    <row r="787" spans="2:3" ht="12.5">
      <c r="B787" s="15"/>
      <c r="C787" s="15"/>
    </row>
    <row r="788" spans="2:3" ht="12.5">
      <c r="B788" s="15"/>
      <c r="C788" s="15"/>
    </row>
    <row r="789" spans="2:3" ht="12.5">
      <c r="B789" s="15"/>
      <c r="C789" s="15"/>
    </row>
    <row r="790" spans="2:3" ht="12.5">
      <c r="B790" s="15"/>
      <c r="C790" s="15"/>
    </row>
    <row r="791" spans="2:3" ht="12.5">
      <c r="B791" s="15"/>
      <c r="C791" s="15"/>
    </row>
    <row r="792" spans="2:3" ht="12.5">
      <c r="B792" s="15"/>
      <c r="C792" s="15"/>
    </row>
    <row r="793" spans="2:3" ht="12.5">
      <c r="B793" s="15"/>
      <c r="C793" s="15"/>
    </row>
    <row r="794" spans="2:3" ht="12.5">
      <c r="B794" s="15"/>
      <c r="C794" s="15"/>
    </row>
    <row r="795" spans="2:3" ht="12.5">
      <c r="B795" s="15"/>
      <c r="C795" s="15"/>
    </row>
    <row r="796" spans="2:3" ht="12.5">
      <c r="B796" s="15"/>
      <c r="C796" s="15"/>
    </row>
    <row r="797" spans="2:3" ht="12.5">
      <c r="B797" s="15"/>
      <c r="C797" s="15"/>
    </row>
    <row r="798" spans="2:3" ht="12.5">
      <c r="B798" s="15"/>
      <c r="C798" s="15"/>
    </row>
    <row r="799" spans="2:3" ht="12.5">
      <c r="B799" s="15"/>
      <c r="C799" s="15"/>
    </row>
    <row r="800" spans="2:3" ht="12.5">
      <c r="B800" s="15"/>
      <c r="C800" s="15"/>
    </row>
    <row r="801" spans="2:3" ht="12.5">
      <c r="B801" s="15"/>
      <c r="C801" s="15"/>
    </row>
    <row r="802" spans="2:3" ht="12.5">
      <c r="B802" s="15"/>
      <c r="C802" s="15"/>
    </row>
    <row r="803" spans="2:3" ht="12.5">
      <c r="B803" s="15"/>
      <c r="C803" s="15"/>
    </row>
    <row r="804" spans="2:3" ht="12.5">
      <c r="B804" s="15"/>
      <c r="C804" s="15"/>
    </row>
    <row r="805" spans="2:3" ht="12.5">
      <c r="B805" s="15"/>
      <c r="C805" s="15"/>
    </row>
    <row r="806" spans="2:3" ht="12.5">
      <c r="B806" s="15"/>
      <c r="C806" s="15"/>
    </row>
    <row r="807" spans="2:3" ht="12.5">
      <c r="B807" s="15"/>
      <c r="C807" s="15"/>
    </row>
    <row r="808" spans="2:3" ht="12.5">
      <c r="B808" s="15"/>
      <c r="C808" s="15"/>
    </row>
    <row r="809" spans="2:3" ht="12.5">
      <c r="B809" s="15"/>
      <c r="C809" s="15"/>
    </row>
    <row r="810" spans="2:3" ht="12.5">
      <c r="B810" s="15"/>
      <c r="C810" s="15"/>
    </row>
    <row r="811" spans="2:3" ht="12.5">
      <c r="B811" s="15"/>
      <c r="C811" s="15"/>
    </row>
    <row r="812" spans="2:3" ht="12.5">
      <c r="B812" s="15"/>
      <c r="C812" s="15"/>
    </row>
    <row r="813" spans="2:3" ht="12.5">
      <c r="B813" s="15"/>
      <c r="C813" s="15"/>
    </row>
    <row r="814" spans="2:3" ht="12.5">
      <c r="B814" s="15"/>
      <c r="C814" s="15"/>
    </row>
    <row r="815" spans="2:3" ht="12.5">
      <c r="B815" s="15"/>
      <c r="C815" s="15"/>
    </row>
    <row r="816" spans="2:3" ht="12.5">
      <c r="B816" s="15"/>
      <c r="C816" s="15"/>
    </row>
    <row r="817" spans="2:3" ht="12.5">
      <c r="B817" s="15"/>
      <c r="C817" s="15"/>
    </row>
    <row r="818" spans="2:3" ht="12.5">
      <c r="B818" s="15"/>
      <c r="C818" s="15"/>
    </row>
    <row r="819" spans="2:3" ht="12.5">
      <c r="B819" s="15"/>
      <c r="C819" s="15"/>
    </row>
    <row r="820" spans="2:3" ht="12.5">
      <c r="B820" s="15"/>
      <c r="C820" s="15"/>
    </row>
    <row r="821" spans="2:3" ht="12.5">
      <c r="B821" s="15"/>
      <c r="C821" s="15"/>
    </row>
    <row r="822" spans="2:3" ht="12.5">
      <c r="B822" s="15"/>
      <c r="C822" s="15"/>
    </row>
    <row r="823" spans="2:3" ht="12.5">
      <c r="B823" s="15"/>
      <c r="C823" s="15"/>
    </row>
    <row r="824" spans="2:3" ht="12.5">
      <c r="B824" s="15"/>
      <c r="C824" s="15"/>
    </row>
    <row r="825" spans="2:3" ht="12.5">
      <c r="B825" s="15"/>
      <c r="C825" s="15"/>
    </row>
    <row r="826" spans="2:3" ht="12.5">
      <c r="B826" s="15"/>
      <c r="C826" s="15"/>
    </row>
    <row r="827" spans="2:3" ht="12.5">
      <c r="B827" s="15"/>
      <c r="C827" s="15"/>
    </row>
    <row r="828" spans="2:3" ht="12.5">
      <c r="B828" s="15"/>
      <c r="C828" s="15"/>
    </row>
    <row r="829" spans="2:3" ht="12.5">
      <c r="B829" s="15"/>
      <c r="C829" s="15"/>
    </row>
    <row r="830" spans="2:3" ht="12.5">
      <c r="B830" s="15"/>
      <c r="C830" s="15"/>
    </row>
    <row r="831" spans="2:3" ht="12.5">
      <c r="B831" s="15"/>
      <c r="C831" s="15"/>
    </row>
    <row r="832" spans="2:3" ht="12.5">
      <c r="B832" s="15"/>
      <c r="C832" s="15"/>
    </row>
    <row r="833" spans="2:3" ht="12.5">
      <c r="B833" s="15"/>
      <c r="C833" s="15"/>
    </row>
    <row r="834" spans="2:3" ht="12.5">
      <c r="B834" s="15"/>
      <c r="C834" s="15"/>
    </row>
    <row r="835" spans="2:3" ht="12.5">
      <c r="B835" s="15"/>
      <c r="C835" s="15"/>
    </row>
    <row r="836" spans="2:3" ht="12.5">
      <c r="B836" s="15"/>
      <c r="C836" s="15"/>
    </row>
    <row r="837" spans="2:3" ht="12.5">
      <c r="B837" s="15"/>
      <c r="C837" s="15"/>
    </row>
    <row r="838" spans="2:3" ht="12.5">
      <c r="B838" s="15"/>
      <c r="C838" s="15"/>
    </row>
    <row r="839" spans="2:3" ht="12.5">
      <c r="B839" s="15"/>
      <c r="C839" s="15"/>
    </row>
    <row r="840" spans="2:3" ht="12.5">
      <c r="B840" s="15"/>
      <c r="C840" s="15"/>
    </row>
    <row r="841" spans="2:3" ht="12.5">
      <c r="B841" s="15"/>
      <c r="C841" s="15"/>
    </row>
    <row r="842" spans="2:3" ht="12.5">
      <c r="B842" s="15"/>
      <c r="C842" s="15"/>
    </row>
    <row r="843" spans="2:3" ht="12.5">
      <c r="B843" s="15"/>
      <c r="C843" s="15"/>
    </row>
    <row r="844" spans="2:3" ht="12.5">
      <c r="B844" s="15"/>
      <c r="C844" s="15"/>
    </row>
    <row r="845" spans="2:3" ht="12.5">
      <c r="B845" s="15"/>
      <c r="C845" s="15"/>
    </row>
    <row r="846" spans="2:3" ht="12.5">
      <c r="B846" s="15"/>
      <c r="C846" s="15"/>
    </row>
    <row r="847" spans="2:3" ht="12.5">
      <c r="B847" s="15"/>
      <c r="C847" s="15"/>
    </row>
    <row r="848" spans="2:3" ht="12.5">
      <c r="B848" s="15"/>
      <c r="C848" s="15"/>
    </row>
    <row r="849" spans="2:3" ht="12.5">
      <c r="B849" s="15"/>
      <c r="C849" s="15"/>
    </row>
    <row r="850" spans="2:3" ht="12.5">
      <c r="B850" s="15"/>
      <c r="C850" s="15"/>
    </row>
    <row r="851" spans="2:3" ht="12.5">
      <c r="B851" s="15"/>
      <c r="C851" s="15"/>
    </row>
    <row r="852" spans="2:3" ht="12.5">
      <c r="B852" s="15"/>
      <c r="C852" s="15"/>
    </row>
    <row r="853" spans="2:3" ht="12.5">
      <c r="B853" s="15"/>
      <c r="C853" s="15"/>
    </row>
    <row r="854" spans="2:3" ht="12.5">
      <c r="B854" s="15"/>
      <c r="C854" s="15"/>
    </row>
    <row r="855" spans="2:3" ht="12.5">
      <c r="B855" s="15"/>
      <c r="C855" s="15"/>
    </row>
    <row r="856" spans="2:3" ht="12.5">
      <c r="B856" s="15"/>
      <c r="C856" s="15"/>
    </row>
    <row r="857" spans="2:3" ht="12.5">
      <c r="B857" s="15"/>
      <c r="C857" s="15"/>
    </row>
    <row r="858" spans="2:3" ht="12.5">
      <c r="B858" s="15"/>
      <c r="C858" s="15"/>
    </row>
    <row r="859" spans="2:3" ht="12.5">
      <c r="B859" s="15"/>
      <c r="C859" s="15"/>
    </row>
    <row r="860" spans="2:3" ht="12.5">
      <c r="B860" s="15"/>
      <c r="C860" s="15"/>
    </row>
    <row r="861" spans="2:3" ht="12.5">
      <c r="B861" s="15"/>
      <c r="C861" s="15"/>
    </row>
    <row r="862" spans="2:3" ht="12.5">
      <c r="B862" s="15"/>
      <c r="C862" s="15"/>
    </row>
    <row r="863" spans="2:3" ht="12.5">
      <c r="B863" s="15"/>
      <c r="C863" s="15"/>
    </row>
    <row r="864" spans="2:3" ht="12.5">
      <c r="B864" s="15"/>
      <c r="C864" s="15"/>
    </row>
    <row r="865" spans="2:3" ht="12.5">
      <c r="B865" s="15"/>
      <c r="C865" s="15"/>
    </row>
    <row r="866" spans="2:3" ht="12.5">
      <c r="B866" s="15"/>
      <c r="C866" s="15"/>
    </row>
    <row r="867" spans="2:3" ht="12.5">
      <c r="B867" s="15"/>
      <c r="C867" s="15"/>
    </row>
    <row r="868" spans="2:3" ht="12.5">
      <c r="B868" s="15"/>
      <c r="C868" s="15"/>
    </row>
    <row r="869" spans="2:3" ht="12.5">
      <c r="B869" s="15"/>
      <c r="C869" s="15"/>
    </row>
    <row r="870" spans="2:3" ht="12.5">
      <c r="B870" s="15"/>
      <c r="C870" s="15"/>
    </row>
    <row r="871" spans="2:3" ht="12.5">
      <c r="B871" s="15"/>
      <c r="C871" s="15"/>
    </row>
    <row r="872" spans="2:3" ht="12.5">
      <c r="B872" s="15"/>
      <c r="C872" s="15"/>
    </row>
    <row r="873" spans="2:3" ht="12.5">
      <c r="B873" s="15"/>
      <c r="C873" s="15"/>
    </row>
    <row r="874" spans="2:3" ht="12.5">
      <c r="B874" s="15"/>
      <c r="C874" s="15"/>
    </row>
    <row r="875" spans="2:3" ht="12.5">
      <c r="B875" s="15"/>
      <c r="C875" s="15"/>
    </row>
    <row r="876" spans="2:3" ht="12.5">
      <c r="B876" s="15"/>
      <c r="C876" s="15"/>
    </row>
    <row r="877" spans="2:3" ht="12.5">
      <c r="B877" s="15"/>
      <c r="C877" s="15"/>
    </row>
    <row r="878" spans="2:3" ht="12.5">
      <c r="B878" s="15"/>
      <c r="C878" s="15"/>
    </row>
    <row r="879" spans="2:3" ht="12.5">
      <c r="B879" s="15"/>
      <c r="C879" s="15"/>
    </row>
    <row r="880" spans="2:3" ht="12.5">
      <c r="B880" s="15"/>
      <c r="C880" s="15"/>
    </row>
    <row r="881" spans="2:3" ht="12.5">
      <c r="B881" s="15"/>
      <c r="C881" s="15"/>
    </row>
    <row r="882" spans="2:3" ht="12.5">
      <c r="B882" s="15"/>
      <c r="C882" s="15"/>
    </row>
    <row r="883" spans="2:3" ht="12.5">
      <c r="B883" s="15"/>
      <c r="C883" s="15"/>
    </row>
    <row r="884" spans="2:3" ht="12.5">
      <c r="B884" s="15"/>
      <c r="C884" s="15"/>
    </row>
    <row r="885" spans="2:3" ht="12.5">
      <c r="B885" s="15"/>
      <c r="C885" s="15"/>
    </row>
    <row r="886" spans="2:3" ht="12.5">
      <c r="B886" s="15"/>
      <c r="C886" s="15"/>
    </row>
    <row r="887" spans="2:3" ht="12.5">
      <c r="B887" s="15"/>
      <c r="C887" s="15"/>
    </row>
    <row r="888" spans="2:3" ht="12.5">
      <c r="B888" s="15"/>
      <c r="C888" s="15"/>
    </row>
    <row r="889" spans="2:3" ht="12.5">
      <c r="B889" s="15"/>
      <c r="C889" s="15"/>
    </row>
    <row r="890" spans="2:3" ht="12.5">
      <c r="B890" s="15"/>
      <c r="C890" s="15"/>
    </row>
    <row r="891" spans="2:3" ht="12.5">
      <c r="B891" s="15"/>
      <c r="C891" s="15"/>
    </row>
    <row r="892" spans="2:3" ht="12.5">
      <c r="B892" s="15"/>
      <c r="C892" s="15"/>
    </row>
    <row r="893" spans="2:3" ht="12.5">
      <c r="B893" s="15"/>
      <c r="C893" s="15"/>
    </row>
    <row r="894" spans="2:3" ht="12.5">
      <c r="B894" s="15"/>
      <c r="C894" s="15"/>
    </row>
    <row r="895" spans="2:3" ht="12.5">
      <c r="B895" s="15"/>
      <c r="C895" s="15"/>
    </row>
    <row r="896" spans="2:3" ht="12.5">
      <c r="B896" s="15"/>
      <c r="C896" s="15"/>
    </row>
    <row r="897" spans="2:3" ht="12.5">
      <c r="B897" s="15"/>
      <c r="C897" s="15"/>
    </row>
    <row r="898" spans="2:3" ht="12.5">
      <c r="B898" s="15"/>
      <c r="C898" s="15"/>
    </row>
    <row r="899" spans="2:3" ht="12.5">
      <c r="B899" s="15"/>
      <c r="C899" s="15"/>
    </row>
    <row r="900" spans="2:3" ht="12.5">
      <c r="B900" s="15"/>
      <c r="C900" s="15"/>
    </row>
    <row r="901" spans="2:3" ht="12.5">
      <c r="B901" s="15"/>
      <c r="C901" s="15"/>
    </row>
    <row r="902" spans="2:3" ht="12.5">
      <c r="B902" s="15"/>
      <c r="C902" s="15"/>
    </row>
    <row r="903" spans="2:3" ht="12.5">
      <c r="B903" s="15"/>
      <c r="C903" s="15"/>
    </row>
    <row r="904" spans="2:3" ht="12.5">
      <c r="B904" s="15"/>
      <c r="C904" s="15"/>
    </row>
    <row r="905" spans="2:3" ht="12.5">
      <c r="B905" s="15"/>
      <c r="C905" s="15"/>
    </row>
    <row r="906" spans="2:3" ht="12.5">
      <c r="B906" s="15"/>
      <c r="C906" s="15"/>
    </row>
    <row r="907" spans="2:3" ht="12.5">
      <c r="B907" s="15"/>
      <c r="C907" s="15"/>
    </row>
    <row r="908" spans="2:3" ht="12.5">
      <c r="B908" s="15"/>
      <c r="C908" s="15"/>
    </row>
    <row r="909" spans="2:3" ht="12.5">
      <c r="B909" s="15"/>
      <c r="C909" s="15"/>
    </row>
    <row r="910" spans="2:3" ht="12.5">
      <c r="B910" s="15"/>
      <c r="C910" s="15"/>
    </row>
    <row r="911" spans="2:3" ht="12.5">
      <c r="B911" s="15"/>
      <c r="C911" s="15"/>
    </row>
    <row r="912" spans="2:3" ht="12.5">
      <c r="B912" s="15"/>
      <c r="C912" s="15"/>
    </row>
    <row r="913" spans="2:3" ht="12.5">
      <c r="B913" s="15"/>
      <c r="C913" s="15"/>
    </row>
    <row r="914" spans="2:3" ht="12.5">
      <c r="B914" s="15"/>
      <c r="C914" s="15"/>
    </row>
    <row r="915" spans="2:3" ht="12.5">
      <c r="B915" s="15"/>
      <c r="C915" s="15"/>
    </row>
    <row r="916" spans="2:3" ht="12.5">
      <c r="B916" s="15"/>
      <c r="C916" s="15"/>
    </row>
    <row r="917" spans="2:3" ht="12.5">
      <c r="B917" s="15"/>
      <c r="C917" s="15"/>
    </row>
    <row r="918" spans="2:3" ht="12.5">
      <c r="B918" s="15"/>
      <c r="C918" s="15"/>
    </row>
    <row r="919" spans="2:3" ht="12.5">
      <c r="B919" s="15"/>
      <c r="C919" s="15"/>
    </row>
    <row r="920" spans="2:3" ht="12.5">
      <c r="B920" s="15"/>
      <c r="C920" s="15"/>
    </row>
    <row r="921" spans="2:3" ht="12.5">
      <c r="B921" s="15"/>
      <c r="C921" s="15"/>
    </row>
    <row r="922" spans="2:3" ht="12.5">
      <c r="B922" s="15"/>
      <c r="C922" s="15"/>
    </row>
    <row r="923" spans="2:3" ht="12.5">
      <c r="B923" s="15"/>
      <c r="C923" s="15"/>
    </row>
    <row r="924" spans="2:3" ht="12.5">
      <c r="B924" s="15"/>
      <c r="C924" s="15"/>
    </row>
    <row r="925" spans="2:3" ht="12.5">
      <c r="B925" s="15"/>
      <c r="C925" s="15"/>
    </row>
    <row r="926" spans="2:3" ht="12.5">
      <c r="B926" s="15"/>
      <c r="C926" s="15"/>
    </row>
    <row r="927" spans="2:3" ht="12.5">
      <c r="B927" s="15"/>
      <c r="C927" s="15"/>
    </row>
    <row r="928" spans="2:3" ht="12.5">
      <c r="B928" s="15"/>
      <c r="C928" s="15"/>
    </row>
    <row r="929" spans="2:3" ht="12.5">
      <c r="B929" s="15"/>
      <c r="C929" s="15"/>
    </row>
    <row r="930" spans="2:3" ht="12.5">
      <c r="B930" s="15"/>
      <c r="C930" s="15"/>
    </row>
    <row r="931" spans="2:3" ht="12.5">
      <c r="B931" s="15"/>
      <c r="C931" s="15"/>
    </row>
    <row r="932" spans="2:3" ht="12.5">
      <c r="B932" s="15"/>
      <c r="C932" s="15"/>
    </row>
    <row r="933" spans="2:3" ht="12.5">
      <c r="B933" s="15"/>
      <c r="C933" s="15"/>
    </row>
    <row r="934" spans="2:3" ht="12.5">
      <c r="B934" s="15"/>
      <c r="C934" s="15"/>
    </row>
    <row r="935" spans="2:3" ht="12.5">
      <c r="B935" s="15"/>
      <c r="C935" s="15"/>
    </row>
    <row r="936" spans="2:3" ht="12.5">
      <c r="B936" s="15"/>
      <c r="C936" s="15"/>
    </row>
    <row r="937" spans="2:3" ht="12.5">
      <c r="B937" s="15"/>
      <c r="C937" s="15"/>
    </row>
    <row r="938" spans="2:3" ht="12.5">
      <c r="B938" s="15"/>
      <c r="C938" s="15"/>
    </row>
    <row r="939" spans="2:3" ht="12.5">
      <c r="B939" s="15"/>
      <c r="C939" s="15"/>
    </row>
    <row r="940" spans="2:3" ht="12.5">
      <c r="B940" s="15"/>
      <c r="C940" s="15"/>
    </row>
    <row r="941" spans="2:3" ht="12.5">
      <c r="B941" s="15"/>
      <c r="C941" s="15"/>
    </row>
    <row r="942" spans="2:3" ht="12.5">
      <c r="B942" s="15"/>
      <c r="C942" s="15"/>
    </row>
    <row r="943" spans="2:3" ht="12.5">
      <c r="B943" s="15"/>
      <c r="C943" s="15"/>
    </row>
    <row r="944" spans="2:3" ht="12.5">
      <c r="B944" s="15"/>
      <c r="C944" s="15"/>
    </row>
    <row r="945" spans="2:3" ht="12.5">
      <c r="B945" s="15"/>
      <c r="C945" s="15"/>
    </row>
    <row r="946" spans="2:3" ht="12.5">
      <c r="B946" s="15"/>
      <c r="C946" s="15"/>
    </row>
    <row r="947" spans="2:3" ht="12.5">
      <c r="B947" s="15"/>
      <c r="C947" s="15"/>
    </row>
    <row r="948" spans="2:3" ht="12.5">
      <c r="B948" s="15"/>
      <c r="C948" s="15"/>
    </row>
    <row r="949" spans="2:3" ht="12.5">
      <c r="B949" s="15"/>
      <c r="C949" s="15"/>
    </row>
    <row r="950" spans="2:3" ht="12.5">
      <c r="B950" s="15"/>
      <c r="C950" s="15"/>
    </row>
    <row r="951" spans="2:3" ht="12.5">
      <c r="B951" s="15"/>
      <c r="C951" s="15"/>
    </row>
    <row r="952" spans="2:3" ht="12.5">
      <c r="B952" s="15"/>
      <c r="C952" s="15"/>
    </row>
    <row r="953" spans="2:3" ht="12.5">
      <c r="B953" s="15"/>
      <c r="C953" s="15"/>
    </row>
    <row r="954" spans="2:3" ht="12.5">
      <c r="B954" s="15"/>
      <c r="C954" s="15"/>
    </row>
    <row r="955" spans="2:3" ht="12.5">
      <c r="B955" s="15"/>
      <c r="C955" s="15"/>
    </row>
    <row r="956" spans="2:3" ht="12.5">
      <c r="B956" s="15"/>
      <c r="C956" s="15"/>
    </row>
    <row r="957" spans="2:3" ht="12.5">
      <c r="B957" s="15"/>
      <c r="C957" s="15"/>
    </row>
    <row r="958" spans="2:3" ht="12.5">
      <c r="B958" s="15"/>
      <c r="C958" s="15"/>
    </row>
    <row r="959" spans="2:3" ht="12.5">
      <c r="B959" s="15"/>
      <c r="C959" s="15"/>
    </row>
    <row r="960" spans="2:3" ht="12.5">
      <c r="B960" s="15"/>
      <c r="C960" s="15"/>
    </row>
    <row r="961" spans="2:3" ht="12.5">
      <c r="B961" s="15"/>
      <c r="C961" s="15"/>
    </row>
    <row r="962" spans="2:3" ht="12.5">
      <c r="B962" s="15"/>
      <c r="C962" s="15"/>
    </row>
    <row r="963" spans="2:3" ht="12.5">
      <c r="B963" s="15"/>
      <c r="C963" s="15"/>
    </row>
    <row r="964" spans="2:3" ht="12.5">
      <c r="B964" s="15"/>
      <c r="C964" s="15"/>
    </row>
    <row r="965" spans="2:3" ht="12.5">
      <c r="B965" s="15"/>
      <c r="C965" s="15"/>
    </row>
    <row r="966" spans="2:3" ht="12.5">
      <c r="B966" s="15"/>
      <c r="C966" s="15"/>
    </row>
    <row r="967" spans="2:3" ht="12.5">
      <c r="B967" s="15"/>
      <c r="C967" s="15"/>
    </row>
    <row r="968" spans="2:3" ht="12.5">
      <c r="B968" s="15"/>
      <c r="C968" s="15"/>
    </row>
    <row r="969" spans="2:3" ht="12.5">
      <c r="B969" s="15"/>
      <c r="C969" s="15"/>
    </row>
    <row r="970" spans="2:3" ht="12.5">
      <c r="B970" s="15"/>
      <c r="C970" s="15"/>
    </row>
    <row r="971" spans="2:3" ht="12.5">
      <c r="B971" s="15"/>
      <c r="C971" s="15"/>
    </row>
    <row r="972" spans="2:3" ht="12.5">
      <c r="B972" s="15"/>
      <c r="C972" s="15"/>
    </row>
    <row r="973" spans="2:3" ht="12.5">
      <c r="B973" s="15"/>
      <c r="C973" s="15"/>
    </row>
    <row r="974" spans="2:3" ht="12.5">
      <c r="B974" s="15"/>
      <c r="C974" s="15"/>
    </row>
    <row r="975" spans="2:3" ht="12.5">
      <c r="B975" s="15"/>
      <c r="C975" s="15"/>
    </row>
    <row r="976" spans="2:3" ht="12.5">
      <c r="B976" s="15"/>
      <c r="C976" s="15"/>
    </row>
    <row r="977" spans="2:3" ht="12.5">
      <c r="B977" s="15"/>
      <c r="C977" s="15"/>
    </row>
    <row r="978" spans="2:3" ht="12.5">
      <c r="B978" s="15"/>
      <c r="C978" s="15"/>
    </row>
    <row r="979" spans="2:3" ht="12.5">
      <c r="B979" s="15"/>
      <c r="C979" s="15"/>
    </row>
    <row r="980" spans="2:3" ht="12.5">
      <c r="B980" s="15"/>
      <c r="C980" s="15"/>
    </row>
    <row r="981" spans="2:3" ht="12.5">
      <c r="B981" s="15"/>
      <c r="C981" s="15"/>
    </row>
    <row r="982" spans="2:3" ht="12.5">
      <c r="B982" s="15"/>
      <c r="C982" s="15"/>
    </row>
    <row r="983" spans="2:3" ht="12.5">
      <c r="B983" s="15"/>
      <c r="C983" s="15"/>
    </row>
    <row r="984" spans="2:3" ht="12.5">
      <c r="B984" s="15"/>
      <c r="C984" s="15"/>
    </row>
    <row r="985" spans="2:3" ht="12.5">
      <c r="B985" s="15"/>
      <c r="C985" s="15"/>
    </row>
    <row r="986" spans="2:3" ht="12.5">
      <c r="B986" s="15"/>
      <c r="C986" s="15"/>
    </row>
    <row r="987" spans="2:3" ht="12.5">
      <c r="B987" s="15"/>
      <c r="C987" s="15"/>
    </row>
    <row r="988" spans="2:3" ht="12.5">
      <c r="B988" s="15"/>
      <c r="C988" s="15"/>
    </row>
    <row r="989" spans="2:3" ht="12.5">
      <c r="B989" s="15"/>
      <c r="C989" s="15"/>
    </row>
    <row r="990" spans="2:3" ht="12.5">
      <c r="B990" s="15"/>
      <c r="C990" s="15"/>
    </row>
    <row r="991" spans="2:3" ht="12.5">
      <c r="B991" s="15"/>
      <c r="C991" s="15"/>
    </row>
    <row r="992" spans="2:3" ht="12.5">
      <c r="B992" s="15"/>
      <c r="C992" s="15"/>
    </row>
    <row r="993" spans="2:3" ht="12.5">
      <c r="B993" s="15"/>
      <c r="C993" s="15"/>
    </row>
    <row r="994" spans="2:3" ht="12.5">
      <c r="B994" s="15"/>
      <c r="C994" s="15"/>
    </row>
    <row r="995" spans="2:3" ht="12.5">
      <c r="B995" s="15"/>
      <c r="C995" s="15"/>
    </row>
    <row r="996" spans="2:3" ht="12.5">
      <c r="B996" s="15"/>
      <c r="C996" s="15"/>
    </row>
    <row r="997" spans="2:3" ht="12.5">
      <c r="B997" s="15"/>
      <c r="C997" s="15"/>
    </row>
    <row r="998" spans="2:3" ht="12.5">
      <c r="B998" s="15"/>
      <c r="C998" s="15"/>
    </row>
    <row r="999" spans="2:3" ht="12.5">
      <c r="B999" s="15"/>
      <c r="C999" s="15"/>
    </row>
    <row r="1000" spans="2:3" ht="12.5">
      <c r="B1000" s="15"/>
      <c r="C1000" s="15"/>
    </row>
  </sheetData>
  <autoFilter ref="A1:G1000" xr:uid="{00000000-0009-0000-0000-000000000000}">
    <sortState xmlns:xlrd2="http://schemas.microsoft.com/office/spreadsheetml/2017/richdata2" ref="A2:G1000">
      <sortCondition ref="C1:C1000"/>
      <sortCondition ref="D1:D1000"/>
    </sortState>
  </autoFilter>
  <pageMargins left="0.7" right="0.7" top="0.75" bottom="0.75" header="0.3" footer="0.3"/>
  <headerFooter>
    <oddFooter>&amp;C_x000D_&amp;1#&amp;"Calibri"&amp;10&amp;KFFFF00 C1-Internal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LOMBARDO Christian</cp:lastModifiedBy>
  <dcterms:modified xsi:type="dcterms:W3CDTF">2024-12-20T15:28:23Z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81a8c8-2672-4d99-bc87-a1a247062d44_Enabled">
    <vt:lpwstr>true</vt:lpwstr>
  </property>
  <property fmtid="{D5CDD505-2E9C-101B-9397-08002B2CF9AE}" pid="3" name="MSIP_Label_b381a8c8-2672-4d99-bc87-a1a247062d44_SetDate">
    <vt:lpwstr>2024-12-20T15:26:55Z</vt:lpwstr>
  </property>
  <property fmtid="{D5CDD505-2E9C-101B-9397-08002B2CF9AE}" pid="4" name="MSIP_Label_b381a8c8-2672-4d99-bc87-a1a247062d44_Method">
    <vt:lpwstr>Standard</vt:lpwstr>
  </property>
  <property fmtid="{D5CDD505-2E9C-101B-9397-08002B2CF9AE}" pid="5" name="MSIP_Label_b381a8c8-2672-4d99-bc87-a1a247062d44_Name">
    <vt:lpwstr>VESI C1-Internal Use</vt:lpwstr>
  </property>
  <property fmtid="{D5CDD505-2E9C-101B-9397-08002B2CF9AE}" pid="6" name="MSIP_Label_b381a8c8-2672-4d99-bc87-a1a247062d44_SiteId">
    <vt:lpwstr>cae7d061-08f3-40dd-80c3-3c0b8889224a</vt:lpwstr>
  </property>
  <property fmtid="{D5CDD505-2E9C-101B-9397-08002B2CF9AE}" pid="7" name="MSIP_Label_b381a8c8-2672-4d99-bc87-a1a247062d44_ActionId">
    <vt:lpwstr>1fd186c5-3975-4de3-9d67-6b39cfaecc29</vt:lpwstr>
  </property>
  <property fmtid="{D5CDD505-2E9C-101B-9397-08002B2CF9AE}" pid="8" name="MSIP_Label_b381a8c8-2672-4d99-bc87-a1a247062d44_ContentBits">
    <vt:lpwstr>2</vt:lpwstr>
  </property>
</Properties>
</file>